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beb61821f1babf/MASESORA/CLINICA/masesora_backend/DOCS/"/>
    </mc:Choice>
  </mc:AlternateContent>
  <xr:revisionPtr revIDLastSave="38" documentId="8_{B3D9C85D-D9C1-4D9B-972A-8ABCB55C0DCE}" xr6:coauthVersionLast="47" xr6:coauthVersionMax="47" xr10:uidLastSave="{A1AF73CC-C12C-45C4-82DE-3DA4CD31958C}"/>
  <bookViews>
    <workbookView xWindow="-120" yWindow="-120" windowWidth="29040" windowHeight="15720" tabRatio="827" xr2:uid="{CA903152-3746-40FF-ABFF-B329ADF27B80}"/>
  </bookViews>
  <sheets>
    <sheet name="Talleres mejorado" sheetId="12" r:id="rId1"/>
    <sheet name="tarifas" sheetId="14" r:id="rId2"/>
    <sheet name="ESPEC BUENO" sheetId="23" r:id="rId3"/>
    <sheet name="Protocolos" sheetId="17" r:id="rId4"/>
    <sheet name="Freelances" sheetId="21" r:id="rId5"/>
  </sheets>
  <definedNames>
    <definedName name="_xlnm._FilterDatabase" localSheetId="2" hidden="1">'ESPEC BUENO'!$A$1:$AD$16</definedName>
    <definedName name="_xlnm._FilterDatabase" localSheetId="1" hidden="1">tarifas!$A$1:$H$81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4" l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2" i="14"/>
</calcChain>
</file>

<file path=xl/sharedStrings.xml><?xml version="1.0" encoding="utf-8"?>
<sst xmlns="http://schemas.openxmlformats.org/spreadsheetml/2006/main" count="1236" uniqueCount="781">
  <si>
    <t>Nº</t>
  </si>
  <si>
    <t>Nombre del Taller</t>
  </si>
  <si>
    <t>Subtítulo</t>
  </si>
  <si>
    <t>Descripción</t>
  </si>
  <si>
    <t>Problema que Resuelve</t>
  </si>
  <si>
    <t>Objetivos Específicos</t>
  </si>
  <si>
    <t>Contenidos Principales</t>
  </si>
  <si>
    <t>Metodología</t>
  </si>
  <si>
    <t>Roleplays Vinculados</t>
  </si>
  <si>
    <t>KPIs</t>
  </si>
  <si>
    <t>Extras / Kit</t>
  </si>
  <si>
    <t>UCI de Finanzas</t>
  </si>
  <si>
    <t>Reanima la salud económica de tu empresa antes de que sea tarde</t>
  </si>
  <si>
    <t>Un tratamiento de choque para empresarios que sienten que la caja se les muere entre las manos. Aquí se aprende a parar la hemorragia de gastos, dar oxígeno a los ingresos y mantener al paciente con vida estable.</t>
  </si>
  <si>
    <t>Simulación de paro cardíaco financiero, casos reales de rescates.</t>
  </si>
  <si>
    <t>Chequeo Comercial</t>
  </si>
  <si>
    <t>Diagnóstico inmediato de tu fuerza de ventas</t>
  </si>
  <si>
    <t>Un análisis clínico de tu equipo comercial y procesos de venta para detectar dónde sangras clientes y cómo cerrar operaciones sin perder margen.</t>
  </si>
  <si>
    <t>Caída de ventas, equipos sin rumbo, clientes que se escapan.</t>
  </si>
  <si>
    <t>1) Detectar cuellos de botella comerciales. 2) Identificar errores de cierre. 3) Aplicar medicina de ventas rápida.</t>
  </si>
  <si>
    <t>Embudo de ventas, diagnóstico de clientes perdidos, protocolos de cierre.</t>
  </si>
  <si>
    <t>Roleplays de objeciones reales, auditoría exprés de pipeline.</t>
  </si>
  <si>
    <t>Llamada en frío, reunión con cliente que pide descuento, cierre bajo presión.</t>
  </si>
  <si>
    <t>Ratio de conversión, nº de clientes recuperados, margen de cierre.</t>
  </si>
  <si>
    <t>Kit de guiones de cierre, plantilla de embudo optimizado, mapa de clientes dormidos.</t>
  </si>
  <si>
    <t>Intensivo de Digitalización</t>
  </si>
  <si>
    <t>Tratamiento de choque para empresas que siguen en modo analógico y pierden tiempo y dinero por no digitalizar procesos básicos.</t>
  </si>
  <si>
    <t>Procesos manuales, retrasos, baja productividad.</t>
  </si>
  <si>
    <t>1) Identificar tareas que deben digitalizarse YA. 2) Implantar herramientas inmediatas. 3) Mejorar control y eficiencia.</t>
  </si>
  <si>
    <t>Automatización administrativa, CRM exprés, gestión digital de caja y clientes.</t>
  </si>
  <si>
    <t>Casos de empresas locales que dieron el salto, roleplay de uso real de herramientas.</t>
  </si>
  <si>
    <t>Simulación de facturación manual vs digital, gestión de clientes en CRM, automatización de cobros.</t>
  </si>
  <si>
    <t>% de procesos digitalizados, horas ahorradas, reducción de errores.</t>
  </si>
  <si>
    <t>Pack de apps esenciales, guía comparativa de software, checklist de digitalización exprés.</t>
  </si>
  <si>
    <t>Emergencia de Atención al Cliente</t>
  </si>
  <si>
    <t>Resucita tu relación con los clientes antes de que te abandonen</t>
  </si>
  <si>
    <t>Un shock terapéutico para empresas que están perdiendo clientes por mala atención, lentitud o falta de empatía.</t>
  </si>
  <si>
    <t>Fuga de clientes, quejas, mala reputación.</t>
  </si>
  <si>
    <t>1) Detectar puntos de dolor en la experiencia. 2) Crear protocolos de respuesta inmediata. 3) Fidelizar bajo presión.</t>
  </si>
  <si>
    <t>Mapa de experiencia crítica, respuestas rápidas, fidelización exprés.</t>
  </si>
  <si>
    <t>Roleplays con clientes cabreados, simulación de crisis de reputación.</t>
  </si>
  <si>
    <t>Atender cliente furioso, responder crítica online, salvar cliente a punto de irse.</t>
  </si>
  <si>
    <t>% de quejas resueltas, tiempo de respuesta, tasa de retención.</t>
  </si>
  <si>
    <t>Guía de protocolos de urgencia, scripts de respuesta rápida, plantilla de seguimiento exprés.</t>
  </si>
  <si>
    <t>Reanimación de Estrategia</t>
  </si>
  <si>
    <t>Un plan de supervivencia cuando todo parece perdido</t>
  </si>
  <si>
    <t>Intervención para empresarios que no tienen rumbo claro, sobreviven al día a día y sienten que el negocio se les va de las manos.</t>
  </si>
  <si>
    <t>Falta de visión, improvisación, decisiones reactivas.</t>
  </si>
  <si>
    <t>1) Definir prioridades inmediatas. 2) Reorientar estrategia en base a recursos. 3) Establecer hoja de ruta clara.</t>
  </si>
  <si>
    <t>Diagnóstico exprés del negocio, matriz de prioridades, plan de rescate estratégico inicial.</t>
  </si>
  <si>
    <t>Ejercicio de ‘si tuvieras 10.000€ dónde lo invertirías’, casos reales de pivote.</t>
  </si>
  <si>
    <t>Decidir en qué recortar, inversión urgente, simulación de comité directivo bajo presión.</t>
  </si>
  <si>
    <t>% de objetivos definidos, tiempo dedicado a tareas clave, alineación equipo.</t>
  </si>
  <si>
    <t>Plantilla PRE básico, tablero visual de prioridades, guía de toma de decisiones rápidas.</t>
  </si>
  <si>
    <t>Rehabilitación de Productividad</t>
  </si>
  <si>
    <t>Recupera el control de tu tiempo y energía</t>
  </si>
  <si>
    <t>Sesión para empresarios que viven apagando fuegos, sin foco y con jornadas interminables.</t>
  </si>
  <si>
    <t>Caos operativo, exceso de tareas, agotamiento.</t>
  </si>
  <si>
    <t>1) Diagnosticar ladrones de tiempo. 2) Crear sistema exprés de organización. 3) Ganar 5h a la semana de productividad.</t>
  </si>
  <si>
    <t>Matriz de urgencia/importancia, delegación exprés, hacks de productividad digital.</t>
  </si>
  <si>
    <t>Ejercicios prácticos con agenda real, roleplay de delegación difícil.</t>
  </si>
  <si>
    <t>Rechazar tarea no prioritaria, delegar con claridad, negociar tiempos de entrega.</t>
  </si>
  <si>
    <t>Horas ahorradas, nº de tareas delegadas, % de cumplimiento de agenda.</t>
  </si>
  <si>
    <t>Planner digital exprés, checklist de delegación, guía de hacks 80/20.</t>
  </si>
  <si>
    <t>Terapia de Innovación</t>
  </si>
  <si>
    <t>Rompe bloqueos y activa nuevas ideas rentables</t>
  </si>
  <si>
    <t>Un chute de creatividad aplicada para empresas estancadas que hacen siempre lo mismo y no crecen.</t>
  </si>
  <si>
    <t>Estancamiento, falta de diferenciación, productos obsoletos.</t>
  </si>
  <si>
    <t>1) Detectar áreas de innovación inmediata. 2) Generar 10 ideas aplicables YA. 3) Evaluar viabilidad rápida.</t>
  </si>
  <si>
    <t>Mapa de innovación exprés, técnicas creativas, casos locales de éxito.</t>
  </si>
  <si>
    <t>Dinámicas de brainstorming bajo presión, roleplay de defensa de nueva idea.</t>
  </si>
  <si>
    <t>Defender una idea innovadora al comité, simular cliente probando novedad, evaluar riesgo de innovación.</t>
  </si>
  <si>
    <t>Nº de ideas aplicadas, ingresos nuevos generados, % de diferenciación percibida.</t>
  </si>
  <si>
    <t>Kit de brainstorming exprés, plantilla de evaluación rápida, ejemplos de innovación local.</t>
  </si>
  <si>
    <t>Chequeo de Marca y Comunicación</t>
  </si>
  <si>
    <t>Haz que tu empresa vuelva a ser recordada</t>
  </si>
  <si>
    <t>Diagnóstico y reactivación de la marca para empresas invisibles o mal posicionadas.</t>
  </si>
  <si>
    <t>Falta de visibilidad, comunicación débil, desconexión con clientes.</t>
  </si>
  <si>
    <t>1) Evaluar imagen y mensajes actuales. 2) Redefinir propuesta de valor clara. 3) Potenciar visibilidad inmediata.</t>
  </si>
  <si>
    <t>Auditoría de marca exprés, storytelling básico, plan de comunicación inicial.</t>
  </si>
  <si>
    <t>Ejercicios de elevator pitch, roleplay de entrevista pública.</t>
  </si>
  <si>
    <t>Presentar empresa en 30s, responder a prensa, defender valor frente a competidor.</t>
  </si>
  <si>
    <t>Nivel de recuerdo de marca, nº de menciones, tasa de interacción digital.</t>
  </si>
  <si>
    <t>Guía de storytelling, kit de pitch, checklist de comunicación exprés.</t>
  </si>
  <si>
    <t>Unidad de Crisis Empresarial</t>
  </si>
  <si>
    <t>Controla el caos antes de que te hunda</t>
  </si>
  <si>
    <t>Terapia intensiva para empresas que atraviesan situaciones críticas (clientes perdidos, problemas legales, baja caja).</t>
  </si>
  <si>
    <t>Crisis de reputación, pérdida de clientes clave, bloqueo interno.</t>
  </si>
  <si>
    <t>1) Diagnosticar gravedad. 2) Crear protocolo de contención. 3) Diseñar salida rápida.</t>
  </si>
  <si>
    <t>Mapa de riesgos críticos, plan de contención, comunicación de crisis.</t>
  </si>
  <si>
    <t>Simulaciones de crisis real, roleplay con medios, decisiones de emergencia.</t>
  </si>
  <si>
    <t>Atender prensa en crisis, reunión con equipo asustado, llamada a cliente perdido.</t>
  </si>
  <si>
    <t>Tiempo de reacción, nº de riesgos controlados, impacto financiero mitigado.</t>
  </si>
  <si>
    <t>Manual de protocolo de crisis, guías de comunicación urgente, checklist de riesgos exprés.</t>
  </si>
  <si>
    <t>Terapia de Cultura y Equipo</t>
  </si>
  <si>
    <t>De empleados quemados a un equipo comprometido</t>
  </si>
  <si>
    <t>Tratamiento para empresas con rotación alta, mal clima o desmotivación.</t>
  </si>
  <si>
    <t>Desmotivación, rotación, conflictos internos.</t>
  </si>
  <si>
    <t>1) Detectar síntomas de desgaste. 2) Recuperar compromiso. 3) Construir base de cultura sana.</t>
  </si>
  <si>
    <t>Claves de motivación exprés, protocolos de comunicación interna, dinámicas de equipo.</t>
  </si>
  <si>
    <t>Roleplays de feedback difícil, dinámicas de cohesión.</t>
  </si>
  <si>
    <t>Dar feedback negativo, mediar conflicto interno, celebrar logros bajo presión.</t>
  </si>
  <si>
    <t>Rotación reducida, nivel de satisfacción, nº de conflictos resueltos.</t>
  </si>
  <si>
    <t>Guía exprés de feedback, dinámicas listas para aplicar, kit de reconocimiento rápido.</t>
  </si>
  <si>
    <t>Roleplay</t>
  </si>
  <si>
    <t>Negociación bancaria bajo presión</t>
  </si>
  <si>
    <t>Subida de precios a cliente difícil</t>
  </si>
  <si>
    <t>Simulación de pago de nóminas sin caja</t>
  </si>
  <si>
    <t>Kit</t>
  </si>
  <si>
    <t>Plantilla 'Protocolo de Caja'</t>
  </si>
  <si>
    <t>Simulador Excel exprés de liquidez</t>
  </si>
  <si>
    <t>Checklist fugas de dinero</t>
  </si>
  <si>
    <t>Extra</t>
  </si>
  <si>
    <t>Guía de negociación bancaria</t>
  </si>
  <si>
    <t>Caso práctico de reestructuración de deuda</t>
  </si>
  <si>
    <t>Objeciones reales de clientes</t>
  </si>
  <si>
    <t>Cierre bajo presión</t>
  </si>
  <si>
    <t>Llamada en frío</t>
  </si>
  <si>
    <t>Kit de guiones de cierre</t>
  </si>
  <si>
    <t>Plantilla de embudo optimizado</t>
  </si>
  <si>
    <t>Mapa de clientes dormidos</t>
  </si>
  <si>
    <t>Auditoría exprés de pipeline</t>
  </si>
  <si>
    <t>Casos reales de ventas recuperadas</t>
  </si>
  <si>
    <t>Facturación manual vs digital</t>
  </si>
  <si>
    <t>Gestion de clientes en CRM</t>
  </si>
  <si>
    <t>Automatización de cobros</t>
  </si>
  <si>
    <t>Pack de apps esenciales</t>
  </si>
  <si>
    <t>Checklist de digitalización exprés</t>
  </si>
  <si>
    <t>Guía comparativa de software</t>
  </si>
  <si>
    <t>Caso real de pyme digitalizada</t>
  </si>
  <si>
    <t>Simulación de implementación exprés</t>
  </si>
  <si>
    <t>Comité directivo bajo presión</t>
  </si>
  <si>
    <t>Decidir en qué recortar gastos</t>
  </si>
  <si>
    <t>Evaluar inversiones urgentes</t>
  </si>
  <si>
    <t>Plantilla PRE básico</t>
  </si>
  <si>
    <t>Tablero visual de prioridades</t>
  </si>
  <si>
    <t>Guía de decisiones rápidas</t>
  </si>
  <si>
    <t>Ejercicio de 'si tuvieras 10000€'</t>
  </si>
  <si>
    <t>Casos reales de pivote empresarial</t>
  </si>
  <si>
    <t>Delegación difícil</t>
  </si>
  <si>
    <t>Negociación de tiempos de entrega</t>
  </si>
  <si>
    <t>Rechazo de tareas no prioritarias</t>
  </si>
  <si>
    <t>Planner digital exprés</t>
  </si>
  <si>
    <t>Checklist de delegación</t>
  </si>
  <si>
    <t>Guía de hacks 80/20</t>
  </si>
  <si>
    <t>Dinámicas de gestión del tiempo</t>
  </si>
  <si>
    <t>Caso práctico de reducción de horas improductivas</t>
  </si>
  <si>
    <t>Feedback negativo a un empleado</t>
  </si>
  <si>
    <t>Mediación en conflicto interno</t>
  </si>
  <si>
    <t>Celebración de logros bajo presión</t>
  </si>
  <si>
    <t>Guía exprés de feedback</t>
  </si>
  <si>
    <t>Dinámicas de cohesión</t>
  </si>
  <si>
    <t>Kit de reconocimiento rápido</t>
  </si>
  <si>
    <t>Ejercicios de motivación</t>
  </si>
  <si>
    <t>Caso real de transformación cultural</t>
  </si>
  <si>
    <t>Atender a cliente furioso</t>
  </si>
  <si>
    <t>Responder crítica online</t>
  </si>
  <si>
    <t>Salvar cliente a punto de irse</t>
  </si>
  <si>
    <t>Guía de protocolos de urgencia</t>
  </si>
  <si>
    <t>Scripts de respuesta rápida</t>
  </si>
  <si>
    <t>Plantilla de seguimiento exprés</t>
  </si>
  <si>
    <t>Casos de gestión de crisis reputacional</t>
  </si>
  <si>
    <t>Dinámicas de fidelización exprés</t>
  </si>
  <si>
    <t>Atender prensa en crisis</t>
  </si>
  <si>
    <t>Reunión con equipo asustado</t>
  </si>
  <si>
    <t>Llamada a cliente perdido</t>
  </si>
  <si>
    <t>Manual de protocolo de crisis</t>
  </si>
  <si>
    <t>Guías de comunicación urgente</t>
  </si>
  <si>
    <t>Checklist de riesgos exprés</t>
  </si>
  <si>
    <t>Simulación de crisis real</t>
  </si>
  <si>
    <t>Taller exprés de gestión de riesgos</t>
  </si>
  <si>
    <t>Defensa de nueva idea al comité</t>
  </si>
  <si>
    <t>Simulación cliente probando novedad</t>
  </si>
  <si>
    <t>Evaluación exprés de riesgos de innovación</t>
  </si>
  <si>
    <t>Kit de brainstorming exprés</t>
  </si>
  <si>
    <t>Plantilla de evaluación rápida</t>
  </si>
  <si>
    <t>Ejemplos de innovación local</t>
  </si>
  <si>
    <t>Dinámica de generación de 10 ideas</t>
  </si>
  <si>
    <t>Caso de éxito local en innovación</t>
  </si>
  <si>
    <t>Presentar empresa en 30 segundos</t>
  </si>
  <si>
    <t>Responder a prensa en entrevista</t>
  </si>
  <si>
    <t>Defender valor frente a competidor</t>
  </si>
  <si>
    <t>Guía de storytelling exprés</t>
  </si>
  <si>
    <t>Kit de pitch comercial</t>
  </si>
  <si>
    <t>Checklist de comunicación exprés</t>
  </si>
  <si>
    <t>Taller exprés de storytelling</t>
  </si>
  <si>
    <t>Caso práctico de reposicionamiento</t>
  </si>
  <si>
    <t>PROGRAMAS</t>
  </si>
  <si>
    <t>Tipo</t>
  </si>
  <si>
    <t>Sesión</t>
  </si>
  <si>
    <t>Coste</t>
  </si>
  <si>
    <t>Tiempo</t>
  </si>
  <si>
    <t>A2: Costo por Empleado/Hora</t>
  </si>
  <si>
    <t>B2: Número de Empleados</t>
  </si>
  <si>
    <t>C2: Margen de Beneficio (ej. 30% o 0.3)</t>
  </si>
  <si>
    <t>📋 Resultados esperados equilibrados (claros y humanos)</t>
  </si>
  <si>
    <t>👉 Liquidez estabilizada y caja bajo control para tomar decisiones financieras rápidas.</t>
  </si>
  <si>
    <t>👉 Más cierres de ventas, menos fugas de clientes y un equipo comercial enfocado.</t>
  </si>
  <si>
    <t>👉 Procesos modernizados que ahorran tiempo y mejoran el control del negocio.</t>
  </si>
  <si>
    <t>👉 Reducción de quejas, clientes más fieles y una reputación sólida.</t>
  </si>
  <si>
    <t>👉 Rumbo claro, prioridades definidas y un plan firme de crecimiento.</t>
  </si>
  <si>
    <t>👉 Mayor foco, menos horas improductivas y un equipo más eficiente.</t>
  </si>
  <si>
    <t>👉 Nuevos ingresos gracias a productos innovadores y mejoras rápidas.</t>
  </si>
  <si>
    <t>👉 Más visibilidad en el mercado, mensajes claros y una marca reconocida.</t>
  </si>
  <si>
    <t>👉 Riesgos bajo control, continuidad asegurada y menor impacto financiero.</t>
  </si>
  <si>
    <t>👉 Clima laboral mejorado, menor rotación y un equipo más motivado.</t>
  </si>
  <si>
    <t>De la prehistoria a la Sociedad 5.0</t>
  </si>
  <si>
    <t>Ahogo financiero</t>
  </si>
  <si>
    <t>1) Detectar fugas de dinero.</t>
  </si>
  <si>
    <t>3) Diseñar plan de estabilidad inmediata.</t>
  </si>
  <si>
    <t xml:space="preserve">2) Reanimar ingresos. </t>
  </si>
  <si>
    <t xml:space="preserve">Mapa de gastos urgentes, </t>
  </si>
  <si>
    <t>Análisis exprés de ingresos</t>
  </si>
  <si>
    <t>Protocolo de reanimación de caja.</t>
  </si>
  <si>
    <t>Simulación de pago nóminas sin caja.</t>
  </si>
  <si>
    <t>Subida de precios en cliente difícil</t>
  </si>
  <si>
    <t>Liquidez mínima cubierta</t>
  </si>
  <si>
    <t xml:space="preserve"> % de gastos eliminados</t>
  </si>
  <si>
    <t xml:space="preserve"> nº de acciones rápidas aplicadas.</t>
  </si>
  <si>
    <t xml:space="preserve"> simulador Excel exprés de liquidez</t>
  </si>
  <si>
    <t xml:space="preserve"> checklist fugas de dinero</t>
  </si>
  <si>
    <t xml:space="preserve"> guía de negociación bancaria.</t>
  </si>
  <si>
    <r>
      <t>KPI:</t>
    </r>
    <r>
      <rPr>
        <sz val="11"/>
        <color theme="1"/>
        <rFont val="Calibri"/>
        <family val="2"/>
        <scheme val="minor"/>
      </rPr>
      <t xml:space="preserve"> Flujo de Caja Operativo = Ingresos – Gastos.</t>
    </r>
  </si>
  <si>
    <r>
      <t>KPI:</t>
    </r>
    <r>
      <rPr>
        <sz val="11"/>
        <color theme="1"/>
        <rFont val="Calibri"/>
        <family val="2"/>
        <scheme val="minor"/>
      </rPr>
      <t xml:space="preserve"> Tasa de Conversión = (Conversiones ÷ Visitas) × 100.</t>
    </r>
  </si>
  <si>
    <r>
      <t>KPI:</t>
    </r>
    <r>
      <rPr>
        <sz val="11"/>
        <color theme="1"/>
        <rFont val="Calibri"/>
        <family val="2"/>
        <scheme val="minor"/>
      </rPr>
      <t xml:space="preserve"> % Procesos Digitalizados = (Procesos Digitalizados ÷ Totales) × 100.</t>
    </r>
  </si>
  <si>
    <r>
      <t>KPI:</t>
    </r>
    <r>
      <rPr>
        <sz val="11"/>
        <color theme="1"/>
        <rFont val="Calibri"/>
        <family val="2"/>
        <scheme val="minor"/>
      </rPr>
      <t xml:space="preserve"> % Quejas = (Clientes con Quejas ÷ Total Clientes) × 100.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</si>
  <si>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Reducir quejas en un 20%.</t>
    </r>
  </si>
  <si>
    <r>
      <t>KPI:</t>
    </r>
    <r>
      <rPr>
        <sz val="11"/>
        <color theme="1"/>
        <rFont val="Calibri"/>
        <family val="2"/>
        <scheme val="minor"/>
      </rPr>
      <t xml:space="preserve"> Tasa de Crecimiento de Ventas = (Ventas Actuales – Ventas Previas) ÷ Ventas Previas × 100.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</si>
  <si>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Crecimiento ≥ 10% trimestral.</t>
    </r>
  </si>
  <si>
    <r>
      <t>KPI:</t>
    </r>
    <r>
      <rPr>
        <sz val="11"/>
        <color theme="1"/>
        <rFont val="Calibri"/>
        <family val="2"/>
        <scheme val="minor"/>
      </rPr>
      <t xml:space="preserve"> Productividad por Empleado = Ingresos Totales ÷ Nº Empleados.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</si>
  <si>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+5h semanales de productividad.</t>
    </r>
  </si>
  <si>
    <r>
      <t>KPI:</t>
    </r>
    <r>
      <rPr>
        <sz val="11"/>
        <color theme="1"/>
        <rFont val="Calibri"/>
        <family val="2"/>
        <scheme val="minor"/>
      </rPr>
      <t xml:space="preserve"> % de Ingresos Nuevos = (Ingresos Nuevos ÷ Ingresos Totales) × 100.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</si>
  <si>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Al menos un 5% de ingresos nuevos.</t>
    </r>
  </si>
  <si>
    <r>
      <t>KPI:</t>
    </r>
    <r>
      <rPr>
        <sz val="11"/>
        <color theme="1"/>
        <rFont val="Calibri"/>
        <family val="2"/>
        <scheme val="minor"/>
      </rPr>
      <t xml:space="preserve"> NPS (Net Promoter Score) = Promotores – Detractores.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</si>
  <si>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+20 puntos NPS en 3 meses.</t>
    </r>
  </si>
  <si>
    <r>
      <t>KPI:</t>
    </r>
    <r>
      <rPr>
        <sz val="11"/>
        <color theme="1"/>
        <rFont val="Calibri"/>
        <family val="2"/>
        <scheme val="minor"/>
      </rPr>
      <t xml:space="preserve"> Tiempo de Reacción (h) ante incidencias críticas.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</si>
  <si>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Respuesta en &lt;24h.</t>
    </r>
  </si>
  <si>
    <r>
      <t>KPI:</t>
    </r>
    <r>
      <rPr>
        <sz val="11"/>
        <color theme="1"/>
        <rFont val="Calibri"/>
        <family val="2"/>
        <scheme val="minor"/>
      </rPr>
      <t xml:space="preserve"> Tasa de Rotación = (Bajas ÷ Promedio empleados) × 100.</t>
    </r>
  </si>
  <si>
    <r>
      <t>Meta comprometida:</t>
    </r>
    <r>
      <rPr>
        <sz val="11"/>
        <color theme="1"/>
        <rFont val="Calibri"/>
        <family val="2"/>
        <scheme val="minor"/>
      </rPr>
      <t xml:space="preserve"> Reducir rotación en un 15%.</t>
    </r>
  </si>
  <si>
    <t xml:space="preserve"> +15% conversiones.</t>
  </si>
  <si>
    <t>Flujo de caja positivo y recurrente.</t>
  </si>
  <si>
    <t>Digitalizar ≥ 2 procesos críticos.</t>
  </si>
  <si>
    <t>Meta Comprometida</t>
  </si>
  <si>
    <t>Aumentar la rentabilidad sin aumentar las ventas</t>
  </si>
  <si>
    <t>Eliminar decisiones a ciegas</t>
  </si>
  <si>
    <r>
      <t>Identificar las "Fugas de Dinero":</t>
    </r>
    <r>
      <rPr>
        <sz val="11"/>
        <color theme="1"/>
        <rFont val="Calibri"/>
        <family val="2"/>
        <scheme val="minor"/>
      </rPr>
      <t xml:space="preserve"> Un análisis de sus 5 mayores gastos mensuales para ver si se pueden optimizar o negociar con proveedores.</t>
    </r>
  </si>
  <si>
    <t xml:space="preserve">Sesión de analisis </t>
  </si>
  <si>
    <t>Estrategia</t>
  </si>
  <si>
    <t>Área</t>
  </si>
  <si>
    <t>Finanzas</t>
  </si>
  <si>
    <t>Ventas</t>
  </si>
  <si>
    <t>Procesos</t>
  </si>
  <si>
    <t>Digitalización</t>
  </si>
  <si>
    <t>Productividad</t>
  </si>
  <si>
    <t>Equipo y Cultura</t>
  </si>
  <si>
    <t>Clientes y Marca</t>
  </si>
  <si>
    <t>Especialidades</t>
  </si>
  <si>
    <t>Tratamiento</t>
  </si>
  <si>
    <t>Objetivos</t>
  </si>
  <si>
    <t>Entregable</t>
  </si>
  <si>
    <t>ID</t>
  </si>
  <si>
    <t>Especialidad</t>
  </si>
  <si>
    <t>Nombre Roleplay</t>
  </si>
  <si>
    <t>Situación</t>
  </si>
  <si>
    <t>Objetivo</t>
  </si>
  <si>
    <t>Participantes Mínimos</t>
  </si>
  <si>
    <t>Duración (min)</t>
  </si>
  <si>
    <t>Nivel Dificultad</t>
  </si>
  <si>
    <t>Técnicas Clave</t>
  </si>
  <si>
    <t>Habilidades Desarrolladas</t>
  </si>
  <si>
    <t>Perfil Actor</t>
  </si>
  <si>
    <t>Escenario</t>
  </si>
  <si>
    <t>El Empleado que Siempre Llega Tarde</t>
  </si>
  <si>
    <t>15-20</t>
  </si>
  <si>
    <t>Intermedio</t>
  </si>
  <si>
    <t>Empleado defensivo con justificaciones constantes</t>
  </si>
  <si>
    <t>Oficina privada</t>
  </si>
  <si>
    <t>Comunicando Malas Noticias - Despidos</t>
  </si>
  <si>
    <t>25-30</t>
  </si>
  <si>
    <t>Avanzado</t>
  </si>
  <si>
    <t>Sala de reuniones</t>
  </si>
  <si>
    <t>El Empleado que Sabotea en Silencio</t>
  </si>
  <si>
    <t>20-25</t>
  </si>
  <si>
    <t>Conversación de Feedback Correctivo</t>
  </si>
  <si>
    <t>Un manager comete errores graves que afectan a su equipo</t>
  </si>
  <si>
    <t>Guerra entre Departamentos</t>
  </si>
  <si>
    <t>30-35</t>
  </si>
  <si>
    <t>Representantes de cada área con posiciones antagónicas</t>
  </si>
  <si>
    <t>Sala de reuniones neutral</t>
  </si>
  <si>
    <t>El Líder de Equipo Autoritario</t>
  </si>
  <si>
    <t>Cambiar su estilo sin perder resultados</t>
  </si>
  <si>
    <t>Conflicto Generacional</t>
  </si>
  <si>
    <t>Representantes de ambas generaciones con prejuicios mutuos</t>
  </si>
  <si>
    <t>La Empleada Estrella que se Siente Subestimada</t>
  </si>
  <si>
    <t>Crisis de Reputación Online</t>
  </si>
  <si>
    <t>30-40</t>
  </si>
  <si>
    <t>El Cliente Más Importante se va</t>
  </si>
  <si>
    <t>Tu cliente que representa 40% de ingresos cancela contrato</t>
  </si>
  <si>
    <t>Empleado Clave en Baja por Burnout</t>
  </si>
  <si>
    <t>Competencia Desleal - Guerra de Precios</t>
  </si>
  <si>
    <t>Sala de reuniones comercial</t>
  </si>
  <si>
    <t>Equipo Desmotivado tras Malos Resultados</t>
  </si>
  <si>
    <t>Sala de reuniones amplia</t>
  </si>
  <si>
    <t>Presentación de Nueva Estrategia</t>
  </si>
  <si>
    <t>35-45</t>
  </si>
  <si>
    <t>Equipo directivo con diferentes niveles de resistencia y comprensión</t>
  </si>
  <si>
    <t>Motivación después de Fracaso de Proyecto</t>
  </si>
  <si>
    <t>Sala de reuniones de proyecto</t>
  </si>
  <si>
    <t>El Empleado Talentoso que Perdió la Motivación</t>
  </si>
  <si>
    <t>Negociación Salarial con Empleado Clave</t>
  </si>
  <si>
    <t>Convencer al Socio Resistente</t>
  </si>
  <si>
    <t>Socio no apoya inversión necesaria para crecer</t>
  </si>
  <si>
    <t>Negociación con Proveedor Crítico</t>
  </si>
  <si>
    <t>Reunión con Inversores Exigentes</t>
  </si>
  <si>
    <t>Sala de juntas formal</t>
  </si>
  <si>
    <t>El Manager que no Sabe Delegar</t>
  </si>
  <si>
    <t>Coaching al Empleado con Potencial</t>
  </si>
  <si>
    <t>Talento joven con capacidad sin experiencia de liderazgo</t>
  </si>
  <si>
    <t>Básico</t>
  </si>
  <si>
    <t>La Transición de Colega a Jefe</t>
  </si>
  <si>
    <t>Ayudar a establecer autoridad sin perder relaciones</t>
  </si>
  <si>
    <t>Área de trabajo compartida</t>
  </si>
  <si>
    <t>Preparando al Sucesor</t>
  </si>
  <si>
    <t>Liderar un Equipo que no Elegiste</t>
  </si>
  <si>
    <t>Heredas equipo con problemas de rendimiento y actitud</t>
  </si>
  <si>
    <t>Área de trabajo del equipo</t>
  </si>
  <si>
    <t>El Dilema Ético Empresarial</t>
  </si>
  <si>
    <t>Prácticas cuestionables que generan muchos ingresos</t>
  </si>
  <si>
    <t>25-35</t>
  </si>
  <si>
    <t>Sala de juntas</t>
  </si>
  <si>
    <t>Gestión del Crecimiento Acelerado</t>
  </si>
  <si>
    <t>Liderazgo a Distancia - Equipo Remoto</t>
  </si>
  <si>
    <t>KPI</t>
  </si>
  <si>
    <t>Fórmula</t>
  </si>
  <si>
    <t>Campos iniciales</t>
  </si>
  <si>
    <t>% Procesos Digitalizados</t>
  </si>
  <si>
    <t>Tu mejor vendedor llega 30 minutos tarde todos los días el equipo se queja</t>
  </si>
  <si>
    <t>Corregir sin perder al talento mantener disciplina del equipo</t>
  </si>
  <si>
    <t>Feedback asertivo Separación comportamiento-persona Establecimiento de consecuencias</t>
  </si>
  <si>
    <t>Comunicación directa Gestión disciplinaria Balance autoridad-empatía</t>
  </si>
  <si>
    <t>Crisis económica debes reducir el 30% de la plantilla</t>
  </si>
  <si>
    <t>Comunicar con transparencia mantener moral de supervivientes</t>
  </si>
  <si>
    <t>Comunicación transparente Gestión emocional grupal Liderazgo en crisis</t>
  </si>
  <si>
    <t>Comunicación de crisis Manejo de emociones grupales Liderazgo bajo presión</t>
  </si>
  <si>
    <t>Equipo con reacciones variadas shock llanto ira</t>
  </si>
  <si>
    <t>Detectas que alguien del equipo desanima a otros critica decisiones</t>
  </si>
  <si>
    <t>Confrontar sin crear drama cambiar actitud destructiva</t>
  </si>
  <si>
    <t>Confrontación directa Presentación de evidencias Establecimiento de límites claros</t>
  </si>
  <si>
    <t>Confrontación constructiva Gestión de empleados tóxicos Firmeza con respeto</t>
  </si>
  <si>
    <t>Empleado manipulador victimización negación</t>
  </si>
  <si>
    <t>Corregir sin humillar mantener autoridad ante su equipo</t>
  </si>
  <si>
    <t>Feedback específico Enfoque en impacto Plan de mejora conjunto</t>
  </si>
  <si>
    <t>Feedback correctivo Desarrollo de líderes Comunicación clara</t>
  </si>
  <si>
    <t>Manager defensivo justificaciones resistencia al cambio</t>
  </si>
  <si>
    <t>Ventas vs Operaciones se culpan mutuamente de problemas</t>
  </si>
  <si>
    <t>Mediar encontrar soluciones restablecer colaboración</t>
  </si>
  <si>
    <t>Mediación neutral Enfoque en soluciones Búsqueda de intereses comunes</t>
  </si>
  <si>
    <t>Mediación de conflictos Construcción de puentes Negociación interna</t>
  </si>
  <si>
    <t>Un jefe de área es efectivo pero desmotiva hay quejas de abuso</t>
  </si>
  <si>
    <t>Feedback sobre estilo Presentación de alternativas Coaching de liderazgo</t>
  </si>
  <si>
    <t>Desarrollo de liderazgo Modificación de comportamientos Coaching directivo</t>
  </si>
  <si>
    <t>Líder autoritario resistente a cambiar así obtengo resultados</t>
  </si>
  <si>
    <t>Empleados mayores vs jóvenes diferentes formas de trabajar</t>
  </si>
  <si>
    <t>Crear entendimiento mutuo aprovechar fortalezas de ambos</t>
  </si>
  <si>
    <t>Facilitación de diálogo Búsqueda de puntos en común Plan de integración</t>
  </si>
  <si>
    <t>Gestión de diversidad generacional Facilitación de diálogos difíciles Integración de equipos</t>
  </si>
  <si>
    <t>Tu mejor talento amenaza con irse pide más responsabilidades dinero</t>
  </si>
  <si>
    <t>Retener talento negociar condiciones realistas</t>
  </si>
  <si>
    <t>Negociación de retención Exploración de motivaciones Propuesta de alternativas</t>
  </si>
  <si>
    <t>Retención de talento Negociación interna Gestión de expectativas</t>
  </si>
  <si>
    <t>Empleada valiosa con expectativas altas presión emocional</t>
  </si>
  <si>
    <t>Video viral muestra mal servicio redes sociales explotan</t>
  </si>
  <si>
    <t>Liderar respuesta calmar equipo proteger marca</t>
  </si>
  <si>
    <t>Gestión de crisis Comunicación externa Liderazgo bajo presión mediática</t>
  </si>
  <si>
    <t>Gestión de crisis reputacionales Comunicación externa Liderazgo en crisis</t>
  </si>
  <si>
    <t>Equipo en pánico presión mediática externa stakeholders preocupados</t>
  </si>
  <si>
    <t>Sala de crisis centro de mando</t>
  </si>
  <si>
    <t>Comunicar al equipo mantener calma tomar decisiones rápidas</t>
  </si>
  <si>
    <t>Comunicación de crisis comercial Gestión de impacto emocional Toma de decisiones bajo presión</t>
  </si>
  <si>
    <t>Gestión de crisis comerciales Liderazgo bajo presión Comunicación de malas noticias</t>
  </si>
  <si>
    <t>Equipo comercial asustado cuestionamiento del liderazgo</t>
  </si>
  <si>
    <t>Tu mejor manager se agota médico indica 3 meses de baja</t>
  </si>
  <si>
    <t>Gestionar salida temporal reorganizar prevenir otros casos</t>
  </si>
  <si>
    <t>Gestión de cargas de trabajo Reorganización de tareas Plan de prevención</t>
  </si>
  <si>
    <t>Gestión del burnout Reorganización de equipos Prevención de agotamiento</t>
  </si>
  <si>
    <t>Manager agotado equipo dependiente preocupación por sobrecarga</t>
  </si>
  <si>
    <t>Oficina sala de reuniones</t>
  </si>
  <si>
    <t>Competidor baja precios 50% clientes presionan por igualar</t>
  </si>
  <si>
    <t>Decidir estrategia comunicar al equipo de ventas mantener márgenes</t>
  </si>
  <si>
    <t>Estrategia comercial defensiva Comunicación de valor diferencial Manejo de presión del equipo</t>
  </si>
  <si>
    <t>Estrategia comercial en crisis Comunicación de valor Liderazgo comercial</t>
  </si>
  <si>
    <t>Equipo comercial presionado clientes exigentes pánico por pérdida de ventas</t>
  </si>
  <si>
    <t>Trimestre con pérdidas equipo desanimado algunos buscan trabajo</t>
  </si>
  <si>
    <t>Re-energizar crear esperanza realista retener talento</t>
  </si>
  <si>
    <t>Motivación grupal Construcción de esperanza realista Plan de recuperación</t>
  </si>
  <si>
    <t>Motivación de equipos Construcción de esperanza Liderazgo inspiracional</t>
  </si>
  <si>
    <t>Equipo desanimado escéptico con miedo al futuro</t>
  </si>
  <si>
    <t>Cambio de dirección empresarial equipo no entiende ni apoya</t>
  </si>
  <si>
    <t>Vender la visión generar entusiasmo obtener compromiso</t>
  </si>
  <si>
    <t>Comunicación de visión Manejo de resistencia al cambio Generación de buy-in</t>
  </si>
  <si>
    <t>Comunicación estratégica Venta de visión Gestión del cambio</t>
  </si>
  <si>
    <t>Sala de presentaciones auditorio</t>
  </si>
  <si>
    <t>Proyecto de 6 meses fracasa completamente equipo desmoralizado</t>
  </si>
  <si>
    <t>Extraer aprendizajes restaurar confianza preparar siguiente proyecto</t>
  </si>
  <si>
    <t>Análisis de fallos Construcción sobre aprendizajes Restauración de confianza</t>
  </si>
  <si>
    <t>Gestión del fracaso Construcción de aprendizaje Motivación post-crisis</t>
  </si>
  <si>
    <t>Equipo project con autoculpa pérdida de confianza miedo a repetir</t>
  </si>
  <si>
    <t>Alto rendidor se volvió mediocre hace lo mínimo</t>
  </si>
  <si>
    <t>Redescubrir su motivación recuperar compromiso</t>
  </si>
  <si>
    <t>Exploración de motivaciones Redefinición de objetivos Plan de re-engagement</t>
  </si>
  <si>
    <t>Re-motivación individual Gestión de talentos desenganchados Coaching motivacional</t>
  </si>
  <si>
    <t>Empleado apático desmotivado ya no me importa</t>
  </si>
  <si>
    <t>Oficina privada espacio informal</t>
  </si>
  <si>
    <t>Pide aumento 40% mercado paga 20% más presupuesto ajustado</t>
  </si>
  <si>
    <t>Encontrar solución creativa retener talento mantener equidad</t>
  </si>
  <si>
    <t>Negociación creativa Exploración de alternativas no monetarias Mantenimiento de equidad</t>
  </si>
  <si>
    <t>Negociación salarial Gestión de presupuestos Retención de talento</t>
  </si>
  <si>
    <t>Empleado con argumentos sólidos conocimiento del mercado presión temporal</t>
  </si>
  <si>
    <t>Persuadir con argumentos mantener relación societaria</t>
  </si>
  <si>
    <t>Negociación societaria Presentación de casos de negocio Manejo de diferentes visiones de riesgo</t>
  </si>
  <si>
    <t>Negociación estratégica Manejo de socios Presentación de casos de negocio</t>
  </si>
  <si>
    <t>Socio conservador histórico de desacuerdos diferente tolerancia al riesgo</t>
  </si>
  <si>
    <t>Sala de juntas oficina</t>
  </si>
  <si>
    <t>Proveedor único sube precios 30% amenaza con cortar suministro</t>
  </si>
  <si>
    <t>Negociar mejores términos asegurar continuidad operativa</t>
  </si>
  <si>
    <t>Negociación desde posición débil Búsqueda de alternativas Creación de valor mutuo</t>
  </si>
  <si>
    <t>Negociación comercial Gestión de proveedores críticos Negociación bajo presión</t>
  </si>
  <si>
    <t>Proveedor con posición fuerte conocedor de su ventaja presión temporal</t>
  </si>
  <si>
    <t>Sala de reuniones oficina proveedor</t>
  </si>
  <si>
    <t>Inversores cuestionan resultados amenazan con retirar financiación</t>
  </si>
  <si>
    <t>Mantener confianza negociar más tiempo asegurar liquidez</t>
  </si>
  <si>
    <t>Presentación bajo presión Manejo de cuestionamientos duros Negociación de términos financieros</t>
  </si>
  <si>
    <t>Presentación a inversores Manejo de crisis financieras Negociación de capital</t>
  </si>
  <si>
    <t>Inversores exigentes pérdida de paciencia cuestionamiento de capacidad directiva</t>
  </si>
  <si>
    <t>Jefe hace todo él mismo equipo subutilizado</t>
  </si>
  <si>
    <t>Enseñar a delegar efectivamente empoderar equipo</t>
  </si>
  <si>
    <t>Coaching de delegación Identificación de tareas delegables Desarrollo de confianza</t>
  </si>
  <si>
    <t>Coaching directivo Optimización de equipos Desarrollo de delegación</t>
  </si>
  <si>
    <t>Manager controlador es más rápido hacerlo yo miedo a perder control</t>
  </si>
  <si>
    <t>Oficina área de trabajo</t>
  </si>
  <si>
    <t>Desarrollar habilidades directivas preparar para promoción</t>
  </si>
  <si>
    <t>Coaching de desarrollo Identificación de fortalezas Plan de crecimiento</t>
  </si>
  <si>
    <t>Desarrollo de liderazgo Mentoring Preparación de sucesores</t>
  </si>
  <si>
    <t>Empleado joven con inseguridades síndrome del impostor ganas de aprender</t>
  </si>
  <si>
    <t>Oficina espacio de coaching</t>
  </si>
  <si>
    <t>Promoción interna debe liderar ex-compañeros</t>
  </si>
  <si>
    <t>Establecimiento de autoridad Manejo de relaciones previas Definición de nuevas dinámicas</t>
  </si>
  <si>
    <t>Transiciones organizacionales Establecimiento de autoridad Gestión de promociones</t>
  </si>
  <si>
    <t>Nuevo jefe inseguro ex-compañeros resistentes dinámicas confusas</t>
  </si>
  <si>
    <t>Planeas salida jubilación preparar sustituto</t>
  </si>
  <si>
    <t>Transferir conocimiento establecer confianza asegurar continuidad</t>
  </si>
  <si>
    <t>Transferencia de conocimiento Desarrollo de sucesor Gestión de la transición</t>
  </si>
  <si>
    <t>Planificación de sucesión Transferencia de conocimiento Continuidad directiva</t>
  </si>
  <si>
    <t>Sucesor con presión diferentes criterios resistencia a soltar</t>
  </si>
  <si>
    <t>Oficina área operativa</t>
  </si>
  <si>
    <t>Ganarte respeto mejorar resultados cambiar cultura</t>
  </si>
  <si>
    <t>Construcción de autoridad Cambio cultural Gestión de equipos problemáticos</t>
  </si>
  <si>
    <t>Liderazgo de equipos heredados Cambio cultural Construcción de respeto</t>
  </si>
  <si>
    <t>Equipo escéptico resistente el otro jefe era mejor cultura negativa</t>
  </si>
  <si>
    <t>Decidir entre ética y rentabilidad comunicar al equipo</t>
  </si>
  <si>
    <t>Toma de decisiones éticas Comunicación de cambios morales Liderazgo moral</t>
  </si>
  <si>
    <t>Liderazgo ético Toma de decisiones morales Gestión de dilemas éticos</t>
  </si>
  <si>
    <t>Equipo dividido presión financiera cuestionamiento de decisiones</t>
  </si>
  <si>
    <t>Empresa crece 300% caos organizacional pérdida de cultura</t>
  </si>
  <si>
    <t>Mantener esencia mientras escalas gestionar crecimiento</t>
  </si>
  <si>
    <t>Gestión del cambio acelerado Mantenimiento de cultura Organización del crecimiento</t>
  </si>
  <si>
    <t>Gestión de crecimiento Escalamiento organizacional Preservación cultural</t>
  </si>
  <si>
    <t>Equipo abrumado nostalgia del pasado resistencia a estructuras</t>
  </si>
  <si>
    <t>Múltiples espacios oficina principal</t>
  </si>
  <si>
    <t>Equipo 100% remoto pérdida de conexión productividad irregular</t>
  </si>
  <si>
    <t>Mantener cohesión motivación y rendimiento sin presencia física</t>
  </si>
  <si>
    <t>Liderazgo virtual Creación de conexión digital Gestión de productividad remota</t>
  </si>
  <si>
    <t>Liderazgo remoto Gestión virtual de equipos Comunicación digital</t>
  </si>
  <si>
    <t>Equipo disperso diferentes niveles de adaptación digital pérdida de conexión</t>
  </si>
  <si>
    <t>Video-conferencia plataforma digital</t>
  </si>
  <si>
    <t>Tiempo Preparación (h)</t>
  </si>
  <si>
    <t>Tiempo Total Sesión (h)</t>
  </si>
  <si>
    <t>1.5</t>
  </si>
  <si>
    <t>4.0</t>
  </si>
  <si>
    <t>3.0</t>
  </si>
  <si>
    <t>5.5</t>
  </si>
  <si>
    <t>2.5</t>
  </si>
  <si>
    <t>4.9</t>
  </si>
  <si>
    <t>5.6</t>
  </si>
  <si>
    <t>2.0</t>
  </si>
  <si>
    <t>5.0</t>
  </si>
  <si>
    <t>3.5</t>
  </si>
  <si>
    <t>6.2</t>
  </si>
  <si>
    <t>5.1</t>
  </si>
  <si>
    <t>6.8</t>
  </si>
  <si>
    <t>1.0</t>
  </si>
  <si>
    <t>3.9</t>
  </si>
  <si>
    <t>Nombre Herramienta</t>
  </si>
  <si>
    <t>Duración Sesión (h)</t>
  </si>
  <si>
    <t>Nivel Complejidad</t>
  </si>
  <si>
    <t>Frecuencia Uso</t>
  </si>
  <si>
    <t>Tiempo Total (h)</t>
  </si>
  <si>
    <t>Semestral</t>
  </si>
  <si>
    <t>Mensual</t>
  </si>
  <si>
    <t>0.5</t>
  </si>
  <si>
    <t>Dashboard KPIs Financieros</t>
  </si>
  <si>
    <t>Monitoreo continuo de salud financiera</t>
  </si>
  <si>
    <t>4.5</t>
  </si>
  <si>
    <t>Trimestral</t>
  </si>
  <si>
    <t>Semanal</t>
  </si>
  <si>
    <t>0.2</t>
  </si>
  <si>
    <t>2.7</t>
  </si>
  <si>
    <t>Anual</t>
  </si>
  <si>
    <t>Customer Journey Map</t>
  </si>
  <si>
    <t>6.5</t>
  </si>
  <si>
    <t>Por proceso crítico</t>
  </si>
  <si>
    <t>TRABAJO CON FREELANCES TEMPORALES</t>
  </si>
  <si>
    <t>4.1 Perfil de Freelance Ideal</t>
  </si>
  <si>
    <r>
      <t xml:space="preserve">✅ </t>
    </r>
    <r>
      <rPr>
        <b/>
        <sz val="11"/>
        <color theme="1"/>
        <rFont val="Calibri"/>
        <family val="2"/>
        <scheme val="minor"/>
      </rPr>
      <t>Experiencia mínima</t>
    </r>
    <r>
      <rPr>
        <sz val="11"/>
        <color theme="1"/>
        <rFont val="Calibri"/>
        <family val="2"/>
        <scheme val="minor"/>
      </rPr>
      <t>: 5 años en consultoría empresarial</t>
    </r>
  </si>
  <si>
    <r>
      <t xml:space="preserve">✅ </t>
    </r>
    <r>
      <rPr>
        <b/>
        <sz val="11"/>
        <color theme="1"/>
        <rFont val="Calibri"/>
        <family val="2"/>
        <scheme val="minor"/>
      </rPr>
      <t>Habilidades clave</t>
    </r>
    <r>
      <rPr>
        <sz val="11"/>
        <color theme="1"/>
        <rFont val="Calibri"/>
        <family val="2"/>
        <scheme val="minor"/>
      </rPr>
      <t>: Facilitación de grupos + Coaching ejecutivo</t>
    </r>
  </si>
  <si>
    <r>
      <t xml:space="preserve">✅ </t>
    </r>
    <r>
      <rPr>
        <b/>
        <sz val="11"/>
        <color theme="1"/>
        <rFont val="Calibri"/>
        <family val="2"/>
        <scheme val="minor"/>
      </rPr>
      <t>Especialidad preferente</t>
    </r>
    <r>
      <rPr>
        <sz val="11"/>
        <color theme="1"/>
        <rFont val="Calibri"/>
        <family val="2"/>
        <scheme val="minor"/>
      </rPr>
      <t>: Al menos 2 de las 8 especialidades médicas</t>
    </r>
  </si>
  <si>
    <r>
      <t xml:space="preserve">✅ </t>
    </r>
    <r>
      <rPr>
        <b/>
        <sz val="11"/>
        <color theme="1"/>
        <rFont val="Calibri"/>
        <family val="2"/>
        <scheme val="minor"/>
      </rPr>
      <t>Soft skills</t>
    </r>
    <r>
      <rPr>
        <sz val="11"/>
        <color theme="1"/>
        <rFont val="Calibri"/>
        <family val="2"/>
        <scheme val="minor"/>
      </rPr>
      <t>: Empatía + Firmeza + Credibilidad ante directivos</t>
    </r>
  </si>
  <si>
    <t>4.2 Proceso de Incorporación (4 horas)</t>
  </si>
  <si>
    <t>SESIÓN 1: METODOLOGÍA (2 horas)</t>
  </si>
  <si>
    <t>✅ Filosofía del sistema "medicina empresarial"</t>
  </si>
  <si>
    <t>✅ Las 8 especialidades y cuándo aplicarlas</t>
  </si>
  <si>
    <t>✅ Estructura estándar de diagnóstico y tratamiento</t>
  </si>
  <si>
    <t>✅ Revisión de 5 casos de éxito reales</t>
  </si>
  <si>
    <t>SESIÓN 2: PRÁCTICA (2 horas)</t>
  </si>
  <si>
    <t>✅ Role-play de diagnóstico inicial</t>
  </si>
  <si>
    <t>✅ Simulacro de aplicación de 2 herramientas</t>
  </si>
  <si>
    <t>✅ Práctica de facilitación de roleplay</t>
  </si>
  <si>
    <t>✅ Uso de templates y materiales</t>
  </si>
  <si>
    <t>4.3 Sistema de Supervisión</t>
  </si>
  <si>
    <r>
      <t xml:space="preserve">✅ </t>
    </r>
    <r>
      <rPr>
        <b/>
        <sz val="11"/>
        <color theme="1"/>
        <rFont val="Calibri"/>
        <family val="2"/>
        <scheme val="minor"/>
      </rPr>
      <t>Primera sesión</t>
    </r>
    <r>
      <rPr>
        <sz val="11"/>
        <color theme="1"/>
        <rFont val="Calibri"/>
        <family val="2"/>
        <scheme val="minor"/>
      </rPr>
      <t>: Acompañamiento completo</t>
    </r>
  </si>
  <si>
    <r>
      <t xml:space="preserve">✅ </t>
    </r>
    <r>
      <rPr>
        <b/>
        <sz val="11"/>
        <color theme="1"/>
        <rFont val="Calibri"/>
        <family val="2"/>
        <scheme val="minor"/>
      </rPr>
      <t>Siguientes 3</t>
    </r>
    <r>
      <rPr>
        <sz val="11"/>
        <color theme="1"/>
        <rFont val="Calibri"/>
        <family val="2"/>
        <scheme val="minor"/>
      </rPr>
      <t>: Check-in inicial + final de 15 min</t>
    </r>
  </si>
  <si>
    <r>
      <t xml:space="preserve">✅ </t>
    </r>
    <r>
      <rPr>
        <b/>
        <sz val="11"/>
        <color theme="1"/>
        <rFont val="Calibri"/>
        <family val="2"/>
        <scheme val="minor"/>
      </rPr>
      <t>A partir de la 5ª</t>
    </r>
    <r>
      <rPr>
        <sz val="11"/>
        <color theme="1"/>
        <rFont val="Calibri"/>
        <family val="2"/>
        <scheme val="minor"/>
      </rPr>
      <t>: Supervisión bajo demanda</t>
    </r>
  </si>
  <si>
    <r>
      <t xml:space="preserve">✅ </t>
    </r>
    <r>
      <rPr>
        <b/>
        <sz val="11"/>
        <color theme="1"/>
        <rFont val="Calibri"/>
        <family val="2"/>
        <scheme val="minor"/>
      </rPr>
      <t>Revisión mensual</t>
    </r>
    <r>
      <rPr>
        <sz val="11"/>
        <color theme="1"/>
        <rFont val="Calibri"/>
        <family val="2"/>
        <scheme val="minor"/>
      </rPr>
      <t>: Casos, feedback, mejoras</t>
    </r>
  </si>
  <si>
    <t>4.4 Materiales de Apoyo para Freelances</t>
  </si>
  <si>
    <t>KIT DE CONSULTOR</t>
  </si>
  <si>
    <t>✅ Manual de procedimientos (este documento)</t>
  </si>
  <si>
    <t>✅ Templates de todas las herramientas</t>
  </si>
  <si>
    <t>✅ Guiones completos de roleplays</t>
  </si>
  <si>
    <t>✅ Biblioteca de casos de éxito por especialidad</t>
  </si>
  <si>
    <t>✅ Scripts para situaciones difíciles</t>
  </si>
  <si>
    <t>✅ Checklist de calidad por tipo de sesión</t>
  </si>
  <si>
    <t>HERRAMIENTAS DE CONTROL</t>
  </si>
  <si>
    <t>✅ Ficha de seguimiento por cliente</t>
  </si>
  <si>
    <t>✅ Reporte estándar post-sesión</t>
  </si>
  <si>
    <t>✅ Escalation matrix (cuándo involucrar al responsable)</t>
  </si>
  <si>
    <t>✅ Sistema de feedback del cliente</t>
  </si>
  <si>
    <t>CONTROL DE CALIDAD Y RESULTADOS</t>
  </si>
  <si>
    <t>5.1 KPIs por Freelance</t>
  </si>
  <si>
    <r>
      <t xml:space="preserve">✅ </t>
    </r>
    <r>
      <rPr>
        <b/>
        <sz val="11"/>
        <color theme="1"/>
        <rFont val="Calibri"/>
        <family val="2"/>
        <scheme val="minor"/>
      </rPr>
      <t>Satisfacción cliente</t>
    </r>
    <r>
      <rPr>
        <sz val="11"/>
        <color theme="1"/>
        <rFont val="Calibri"/>
        <family val="2"/>
        <scheme val="minor"/>
      </rPr>
      <t xml:space="preserve"> (NPS post-sesión): &gt;8</t>
    </r>
  </si>
  <si>
    <r>
      <t xml:space="preserve">✅ </t>
    </r>
    <r>
      <rPr>
        <b/>
        <sz val="11"/>
        <color theme="1"/>
        <rFont val="Calibri"/>
        <family val="2"/>
        <scheme val="minor"/>
      </rPr>
      <t>Implementación efectiva</t>
    </r>
    <r>
      <rPr>
        <sz val="11"/>
        <color theme="1"/>
        <rFont val="Calibri"/>
        <family val="2"/>
        <scheme val="minor"/>
      </rPr>
      <t xml:space="preserve"> (% acciones completadas): &gt;70%</t>
    </r>
  </si>
  <si>
    <r>
      <t xml:space="preserve">✅ </t>
    </r>
    <r>
      <rPr>
        <b/>
        <sz val="11"/>
        <color theme="1"/>
        <rFont val="Calibri"/>
        <family val="2"/>
        <scheme val="minor"/>
      </rPr>
      <t>Renovación/extensión</t>
    </r>
    <r>
      <rPr>
        <sz val="11"/>
        <color theme="1"/>
        <rFont val="Calibri"/>
        <family val="2"/>
        <scheme val="minor"/>
      </rPr>
      <t xml:space="preserve"> (% clientes que amplían): &gt;60%</t>
    </r>
  </si>
  <si>
    <r>
      <t xml:space="preserve">✅ </t>
    </r>
    <r>
      <rPr>
        <b/>
        <sz val="11"/>
        <color theme="1"/>
        <rFont val="Calibri"/>
        <family val="2"/>
        <scheme val="minor"/>
      </rPr>
      <t>Referidos generados</t>
    </r>
    <r>
      <rPr>
        <sz val="11"/>
        <color theme="1"/>
        <rFont val="Calibri"/>
        <family val="2"/>
        <scheme val="minor"/>
      </rPr>
      <t xml:space="preserve"> (nuevos clientes por referencias): &gt;1 cada 3 meses</t>
    </r>
  </si>
  <si>
    <t>5.2 Proceso de Mejora Continua</t>
  </si>
  <si>
    <r>
      <t xml:space="preserve">✅ </t>
    </r>
    <r>
      <rPr>
        <b/>
        <sz val="11"/>
        <color theme="1"/>
        <rFont val="Calibri"/>
        <family val="2"/>
        <scheme val="minor"/>
      </rPr>
      <t>Revisión semanal</t>
    </r>
    <r>
      <rPr>
        <sz val="11"/>
        <color theme="1"/>
        <rFont val="Calibri"/>
        <family val="2"/>
        <scheme val="minor"/>
      </rPr>
      <t>: Casos difíciles y aprendizajes</t>
    </r>
  </si>
  <si>
    <r>
      <t xml:space="preserve">✅ </t>
    </r>
    <r>
      <rPr>
        <b/>
        <sz val="11"/>
        <color theme="1"/>
        <rFont val="Calibri"/>
        <family val="2"/>
        <scheme val="minor"/>
      </rPr>
      <t>Revisión mensual</t>
    </r>
    <r>
      <rPr>
        <sz val="11"/>
        <color theme="1"/>
        <rFont val="Calibri"/>
        <family val="2"/>
        <scheme val="minor"/>
      </rPr>
      <t>: KPIs y ajustes metodológicos</t>
    </r>
  </si>
  <si>
    <r>
      <t xml:space="preserve">✅ </t>
    </r>
    <r>
      <rPr>
        <b/>
        <sz val="11"/>
        <color theme="1"/>
        <rFont val="Calibri"/>
        <family val="2"/>
        <scheme val="minor"/>
      </rPr>
      <t>Revisión trimestral</t>
    </r>
    <r>
      <rPr>
        <sz val="11"/>
        <color theme="1"/>
        <rFont val="Calibri"/>
        <family val="2"/>
        <scheme val="minor"/>
      </rPr>
      <t>: Actualización de materials y casos</t>
    </r>
  </si>
  <si>
    <r>
      <t xml:space="preserve">✅ </t>
    </r>
    <r>
      <rPr>
        <b/>
        <sz val="11"/>
        <color theme="1"/>
        <rFont val="Calibri"/>
        <family val="2"/>
        <scheme val="minor"/>
      </rPr>
      <t>Feedback 360°</t>
    </r>
    <r>
      <rPr>
        <sz val="11"/>
        <color theme="1"/>
        <rFont val="Calibri"/>
        <family val="2"/>
        <scheme val="minor"/>
      </rPr>
      <t>: Cliente + Freelance + Coordinador</t>
    </r>
  </si>
  <si>
    <t>ESCALABILIDAD: DE 1 A 5 FREELANCES</t>
  </si>
  <si>
    <t>6.1 FASE 1: Solo tú (Actual)</t>
  </si>
  <si>
    <t>✅ Perfecciona el proceso con 5-10 clientes</t>
  </si>
  <si>
    <t>✅ Documenta todos los casos y variaciones</t>
  </si>
  <si>
    <t>✅ Crea los templates y materiales base</t>
  </si>
  <si>
    <t>✅ Define los KPIs y métodos de medición</t>
  </si>
  <si>
    <t>6.2 FASE 2: Tu + 1 Freelance</t>
  </si>
  <si>
    <t>✅ Incorpora primer freelance especializado en tu área más fuerte</t>
  </si>
  <si>
    <t>✅ Mantienes clientes complejos, delegas más sencillos</t>
  </si>
  <si>
    <t>✅ Estableces rutina de supervisión y mejora</t>
  </si>
  <si>
    <t>✅ Documentas proceso de escalado</t>
  </si>
  <si>
    <t>6.3 FASE 3: Tu + 2-3 Freelances</t>
  </si>
  <si>
    <t>✅ Cada freelance especializado en 2-3 áreas médicas</t>
  </si>
  <si>
    <t>✅ Tu rol evoluciona a supervisor + desarrollo de negocio</t>
  </si>
  <si>
    <t>✅ Implementas sistema de gestión de calidad</t>
  </si>
  <si>
    <t>✅ Diversificas por sectores/tamaños de empresa</t>
  </si>
  <si>
    <t>6.4 FASE 4: Tu + 4-5 Freelances (Objetivo 12 meses)</t>
  </si>
  <si>
    <t>✅ Cobertura completa de todas las especialidades</t>
  </si>
  <si>
    <t>✅ Capacidad de atender 20-25 clientes simultáneos</t>
  </si>
  <si>
    <t>✅ Sistema de gestión automatizado</t>
  </si>
  <si>
    <t>✅ Tu rol: Estrategia + Calidad + Desarrollo</t>
  </si>
  <si>
    <t>Medicina Financiera</t>
  </si>
  <si>
    <t>Revisamos la salud de la caja gastos liquidez y rentabilidad</t>
  </si>
  <si>
    <t>Que el empresario sepa siempre dónde está su dinero y cómo hacerlo rendir</t>
  </si>
  <si>
    <t>Panel de indicadores financieros críticos para control diario</t>
  </si>
  <si>
    <t>Dashboard automatizado con alertas</t>
  </si>
  <si>
    <t>Sí</t>
  </si>
  <si>
    <t>Empleado pide aumento 40% mercado paga 20% más presupuesto ajustado</t>
  </si>
  <si>
    <t>Negociación creativa Exploración alternativas no monetarias Mantenimiento equidad</t>
  </si>
  <si>
    <t>Negociación salarial Gestión presupuestos Retención talento</t>
  </si>
  <si>
    <t>Empleado con argumentos sólidos conocimiento mercado presión temporal</t>
  </si>
  <si>
    <t>Liquidez</t>
  </si>
  <si>
    <t>(Activo Corriente - Pasivo Corriente) / Pasivo Corriente</t>
  </si>
  <si>
    <t>Activo Corriente Pasivo Corriente</t>
  </si>
  <si>
    <t>Análisis Flujo de Caja</t>
  </si>
  <si>
    <t>Proyección de entradas y salidas de dinero a 3-6 meses</t>
  </si>
  <si>
    <t>Prevenir crisis de liquidez y planificar inversiones</t>
  </si>
  <si>
    <t>Proyección detallada con escenarios</t>
  </si>
  <si>
    <t>No</t>
  </si>
  <si>
    <t>Punto Equilibrio</t>
  </si>
  <si>
    <t>Costes Fijos / (Precio Venta - Coste Variable Unitario)</t>
  </si>
  <si>
    <t>Costes Fijos Precio Venta Coste Variable</t>
  </si>
  <si>
    <t>Cardiología Comercial</t>
  </si>
  <si>
    <t>Analizamos el pulso de ventas y la atracción de clientes</t>
  </si>
  <si>
    <t>Aumentar conversiones cerrar más operaciones y reducir fugas</t>
  </si>
  <si>
    <t>Embudo de Ventas</t>
  </si>
  <si>
    <t>Análisis del proceso comercial paso a paso con métricas de conversión</t>
  </si>
  <si>
    <t>Optimizar conversiones y detectar fugas comerciales</t>
  </si>
  <si>
    <t>Diagrama embudo con métricas y plan optimización</t>
  </si>
  <si>
    <t>Cliente que representa 40% ingresos cancela contrato</t>
  </si>
  <si>
    <t>Comunicación crisis comercial Gestión impacto emocional Toma decisiones bajo presión</t>
  </si>
  <si>
    <t>Gestión crisis comerciales Liderazgo bajo presión Comunicación malas noticias</t>
  </si>
  <si>
    <t>Equipo comercial asustado cuestionamiento liderazgo</t>
  </si>
  <si>
    <t>Sala reuniones</t>
  </si>
  <si>
    <t>Tasa Conversión</t>
  </si>
  <si>
    <t>(Ventas Cerradas / Leads Totales) x 100</t>
  </si>
  <si>
    <t>Ventas Cerradas Leads Totales</t>
  </si>
  <si>
    <t>Matriz Segmentación Clientes</t>
  </si>
  <si>
    <t>Clasificación clientes por valor actual y potencial futuro</t>
  </si>
  <si>
    <t>Priorizar esfuerzos comerciales en clientes más rentables</t>
  </si>
  <si>
    <t>Matriz con estrategias específicas por segmento</t>
  </si>
  <si>
    <t>Ticket Promedio</t>
  </si>
  <si>
    <t>Facturación Total / Número de Ventas</t>
  </si>
  <si>
    <t>Facturación Total Número Ventas</t>
  </si>
  <si>
    <t>Trauma Digital</t>
  </si>
  <si>
    <t>Cortamos procesos manuales e implantamos herramientas digitales</t>
  </si>
  <si>
    <t>Eficiencia control y competitividad tecnológica</t>
  </si>
  <si>
    <t>Audit Madurez Digital</t>
  </si>
  <si>
    <t>Evaluación nivel digitalización actual de todos los procesos</t>
  </si>
  <si>
    <t>Planificar transformación digital por fases priorizadas</t>
  </si>
  <si>
    <t>Roadmap digitalización con ROI por fase</t>
  </si>
  <si>
    <t>Empleados mayores vs jóvenes diferentes formas trabajar con tecnología</t>
  </si>
  <si>
    <t>Crear entendimiento mutuo aprovechar fortalezas ambos</t>
  </si>
  <si>
    <t>Facilitación diálogo Búsqueda puntos común Plan integración</t>
  </si>
  <si>
    <t>Gestión diversidad generacional Facilitación diálogos difíciles Integración equipos</t>
  </si>
  <si>
    <t>Representantes ambas generaciones con prejuicios mutuos</t>
  </si>
  <si>
    <t>(Procesos Digitales / Procesos Totales) x 100</t>
  </si>
  <si>
    <t>Procesos Digitales Procesos Totales</t>
  </si>
  <si>
    <t>Neurología Empresarial</t>
  </si>
  <si>
    <t>Evaluamos el rumbo estratégico la visión y capacidad de ejecución</t>
  </si>
  <si>
    <t>Dar claridad dirección y hoja de ruta al negocio</t>
  </si>
  <si>
    <t>Análisis DAFO</t>
  </si>
  <si>
    <t>Evaluación Debilidades Amenazas Fortalezas Oportunidades con plan acción</t>
  </si>
  <si>
    <t>Diagnóstico estratégico integral para toma decisiones</t>
  </si>
  <si>
    <t>Matriz DAFO con plan acción priorizado</t>
  </si>
  <si>
    <t>Presentación Nueva Estrategia</t>
  </si>
  <si>
    <t>Cambio dirección empresarial equipo no entiende ni apoya</t>
  </si>
  <si>
    <t>Vender visión generar entusiasmo obtener compromiso</t>
  </si>
  <si>
    <t>Comunicación visión Manejo resistencia cambio Generación buy-in</t>
  </si>
  <si>
    <t>Comunicación estratégica Venta visión Gestión cambio</t>
  </si>
  <si>
    <t>Equipo directivo diferentes niveles resistencia comprensión</t>
  </si>
  <si>
    <t>Sala presentaciones</t>
  </si>
  <si>
    <t>Crecimiento Anual</t>
  </si>
  <si>
    <t>((Ingresos Año Actual - Ingresos Año Anterior) / Ingresos Año Anterior) x 100</t>
  </si>
  <si>
    <t>Ingresos Año Actual Ingresos Año Anterior</t>
  </si>
  <si>
    <t>OKRs Objectives Key Results</t>
  </si>
  <si>
    <t>Sistema objetivos y resultados clave para alineación organizacional</t>
  </si>
  <si>
    <t>Alineación y seguimiento efectivo de metas estratégicas</t>
  </si>
  <si>
    <t>Sistema OKRs completo con seguimiento trimestral</t>
  </si>
  <si>
    <t>% Cumplimiento OKRs</t>
  </si>
  <si>
    <t>(Objetivos Cumplidos / Objetivos Totales) x 100</t>
  </si>
  <si>
    <t>Objetivos Cumplidos Objetivos Totales</t>
  </si>
  <si>
    <t>Medicina Interna</t>
  </si>
  <si>
    <t>Revisamos la organización interna tiempos y foco</t>
  </si>
  <si>
    <t>Menos estrés más eficiencia equipos enfocados</t>
  </si>
  <si>
    <t>Matriz Eisenhower</t>
  </si>
  <si>
    <t>Clasificación tareas por urgencia/importancia para priorización eficaz</t>
  </si>
  <si>
    <t>Optimizar uso tiempo y enfocar en lo realmente importante</t>
  </si>
  <si>
    <t>Matriz personal prioridades con plan semanal</t>
  </si>
  <si>
    <t>Enseñar delegar efectivamente empoderar equipo</t>
  </si>
  <si>
    <t>Coaching delegación Identificación tareas delegables Desarrollo confianza</t>
  </si>
  <si>
    <t>Coaching directivo Optimización equipos Desarrollo delegación</t>
  </si>
  <si>
    <t>Manager controlador es más rápido hacerlo yo miedo perder control</t>
  </si>
  <si>
    <t>Oficina área trabajo</t>
  </si>
  <si>
    <t>Horas Productivas</t>
  </si>
  <si>
    <t>(Horas Enfocadas / Horas Totales Trabajo) x 100</t>
  </si>
  <si>
    <t>Horas Enfocadas Horas Totales Trabajo</t>
  </si>
  <si>
    <t>Análisis Pareto 80-20</t>
  </si>
  <si>
    <t>Identificación 20% actividades que generan 80% resultados</t>
  </si>
  <si>
    <t>Enfocar esfuerzos en actividades más impactantes</t>
  </si>
  <si>
    <t>Gráfico Pareto con plan acción enfoque</t>
  </si>
  <si>
    <t>Ratio Delegación</t>
  </si>
  <si>
    <t>(Tareas Delegadas / Tareas Totales) x 100</t>
  </si>
  <si>
    <t>Tareas Delegadas Tareas Totales</t>
  </si>
  <si>
    <t>Psiquiatría Empresarial</t>
  </si>
  <si>
    <t>Detectamos desmotivación conflictos y falta de cohesión</t>
  </si>
  <si>
    <t>Construir equipos comprometidos motivados y alineados</t>
  </si>
  <si>
    <t>Análisis Clima Laboral</t>
  </si>
  <si>
    <t>Medición satisfacción y compromiso equipo con plan mejora</t>
  </si>
  <si>
    <t>Mejorar ambiente laboral y retención talento</t>
  </si>
  <si>
    <t>Informe clima con plan mejora específico</t>
  </si>
  <si>
    <t>Ventas vs Operaciones se culpan mutuamente problemas</t>
  </si>
  <si>
    <t>Mediación neutral Enfoque soluciones Búsqueda intereses comunes</t>
  </si>
  <si>
    <t>Mediación conflictos Construcción puentes Negociación interna</t>
  </si>
  <si>
    <t>Representantes cada área posiciones antagónicas</t>
  </si>
  <si>
    <t>Sala reuniones neutral</t>
  </si>
  <si>
    <t>Satisfacción Laboral</t>
  </si>
  <si>
    <t>(Empleados Satisfechos / Empleados Totales) x 100</t>
  </si>
  <si>
    <t>Empleados Satisfechos Empleados Totales</t>
  </si>
  <si>
    <t>Matriz Competencias</t>
  </si>
  <si>
    <t>Evaluación habilidades equipo identificación gaps formación</t>
  </si>
  <si>
    <t>Identificar necesidades desarrollo y optimizar talentos</t>
  </si>
  <si>
    <t>Mapa competencias con plan desarrollo individual</t>
  </si>
  <si>
    <t>Conversación Feedback Correctivo</t>
  </si>
  <si>
    <t>Manager comete errores graves afectan su equipo</t>
  </si>
  <si>
    <t>Corregir sin humillar mantener autoridad ante equipo</t>
  </si>
  <si>
    <t>Feedback específico Enfoque impacto Plan mejora conjunto</t>
  </si>
  <si>
    <t>Feedback correctivo Desarrollo líderes Comunicación clara</t>
  </si>
  <si>
    <t>Manager defensivo justificaciones resistencia cambio</t>
  </si>
  <si>
    <t>Rotación Personal</t>
  </si>
  <si>
    <t>(Empleados que se van / Empleados Promedio) x 100</t>
  </si>
  <si>
    <t>Empleados que se van Empleados Promedio</t>
  </si>
  <si>
    <t>Dermatología Comercial</t>
  </si>
  <si>
    <t>Miramos cómo perciben la empresa los clientes</t>
  </si>
  <si>
    <t>Mejorar experiencia fidelizar y elevar reputación</t>
  </si>
  <si>
    <t>Mapeo completo experiencia cliente en todos touchpoints</t>
  </si>
  <si>
    <t>Optimizar puntos contacto y mejorar experiencia global</t>
  </si>
  <si>
    <t>Mapa detallado con plan mejoras priorizadas</t>
  </si>
  <si>
    <t>Crisis Reputación Online</t>
  </si>
  <si>
    <t>Gestión crisis Comunicación externa Liderazgo presión mediática</t>
  </si>
  <si>
    <t>Gestión crisis reputacionales Comunicación externa Liderazgo crisis</t>
  </si>
  <si>
    <t>Equipo pánico presión mediática externa stakeholders preocupados</t>
  </si>
  <si>
    <t>Sala crisis centro mando</t>
  </si>
  <si>
    <t>NPS Net Promoter Score</t>
  </si>
  <si>
    <t>% Promotores - % Detractores</t>
  </si>
  <si>
    <t>Promotores Detractores</t>
  </si>
  <si>
    <t>Análisis NPS</t>
  </si>
  <si>
    <t>Medición lealtad y satisfacción clientes con plan acción</t>
  </si>
  <si>
    <t>Mejorar experiencia cliente y aumentar fidelización</t>
  </si>
  <si>
    <t>Dashboard NPS con plan acción específico</t>
  </si>
  <si>
    <t>Tasa Retención</t>
  </si>
  <si>
    <t>(Clientes Finales / Clientes Iniciales) x 100</t>
  </si>
  <si>
    <t>Clientes Finales Clientes Iniciales</t>
  </si>
  <si>
    <t>Rehabilitación Productiva</t>
  </si>
  <si>
    <t>Identificamos tareas repetitivas y oportunidades de mejora</t>
  </si>
  <si>
    <t>Liberar tiempo y reducir errores con optimización</t>
  </si>
  <si>
    <t>Diagrama Flujo Procesos</t>
  </si>
  <si>
    <t>Visualización paso paso procedimientos críticos empresa</t>
  </si>
  <si>
    <t>Estandarizar y optimizar procesos más importantes</t>
  </si>
  <si>
    <t>Diagramas procesos optimizados con tiempos</t>
  </si>
  <si>
    <t>Motivación después Fracaso Proyecto</t>
  </si>
  <si>
    <t>Proyecto 6 meses fracasa completamente equipo desmoralizado</t>
  </si>
  <si>
    <t>Extraer aprendizajes restaurar confianza preparar siguiente</t>
  </si>
  <si>
    <t>Análisis fallos Construcción sobre aprendizajes Restauración confianza</t>
  </si>
  <si>
    <t>Gestión fracaso Construcción aprendizaje Motivación post-crisis</t>
  </si>
  <si>
    <t>Equipo project autoculpa pérdida confianza miedo repetir</t>
  </si>
  <si>
    <t>Sala reuniones proyecto</t>
  </si>
  <si>
    <t>Eficiencia Proceso</t>
  </si>
  <si>
    <t>(Tiempo Proceso Optimizado / Tiempo Proceso Original) x 100</t>
  </si>
  <si>
    <t>Tiempo Proceso Optimizado Tiempo Original</t>
  </si>
  <si>
    <t>Matriz Riesgos</t>
  </si>
  <si>
    <t>Evaluación probabilidad e impacto riesgos negocio</t>
  </si>
  <si>
    <t>Prevenir y mitigar amenazas operativas y estratégicas</t>
  </si>
  <si>
    <t>Matriz con planes contingencia específicos</t>
  </si>
  <si>
    <t>Riesgos Mitigados</t>
  </si>
  <si>
    <t>(Riesgos con Plan / Riesgos Totales) x 100</t>
  </si>
  <si>
    <t>Riesgos con Plan Riesgos Totales</t>
  </si>
  <si>
    <t>RESUMEN DE LA OPTIMIZACIÓN:</t>
  </si>
  <si>
    <t>Herramientas</t>
  </si>
  <si>
    <t>Roleplays</t>
  </si>
  <si>
    <t>Total Items</t>
  </si>
  <si>
    <t>TOTAL</t>
  </si>
  <si>
    <t>🔥 CRITERIOS DE SELECCIÓN:</t>
  </si>
  <si>
    <r>
      <t>1. Máximo impacto</t>
    </r>
    <r>
      <rPr>
        <sz val="11"/>
        <color theme="1"/>
        <rFont val="Calibri"/>
        <family val="2"/>
        <scheme val="minor"/>
      </rPr>
      <t xml:space="preserve"> en resultados empresariales</t>
    </r>
  </si>
  <si>
    <r>
      <t>2. Fácil implementación</t>
    </r>
    <r>
      <rPr>
        <sz val="11"/>
        <color theme="1"/>
        <rFont val="Calibri"/>
        <family val="2"/>
        <scheme val="minor"/>
      </rPr>
      <t xml:space="preserve"> (tiempo/recursos)</t>
    </r>
  </si>
  <si>
    <r>
      <t>3. Alta demanda</t>
    </r>
    <r>
      <rPr>
        <sz val="11"/>
        <color theme="1"/>
        <rFont val="Calibri"/>
        <family val="2"/>
        <scheme val="minor"/>
      </rPr>
      <t xml:space="preserve"> del mercado</t>
    </r>
  </si>
  <si>
    <r>
      <t>4. ROI demostrable</t>
    </r>
    <r>
      <rPr>
        <sz val="11"/>
        <color theme="1"/>
        <rFont val="Calibri"/>
        <family val="2"/>
        <scheme val="minor"/>
      </rPr>
      <t xml:space="preserve"> en pocas sesiones</t>
    </r>
  </si>
  <si>
    <r>
      <t>5. Transferible</t>
    </r>
    <r>
      <rPr>
        <sz val="11"/>
        <color theme="1"/>
        <rFont val="Calibri"/>
        <family val="2"/>
        <scheme val="minor"/>
      </rPr>
      <t xml:space="preserve"> a freelances</t>
    </r>
  </si>
  <si>
    <t>⚡ VENTAJAS DE ESTA OFERTA CURADA:</t>
  </si>
  <si>
    <t>PARA TI:</t>
  </si>
  <si>
    <t>Dominas perfectamente 24 elementos vs 68</t>
  </si>
  <si>
    <t>Tiempo preparación reducido 60%</t>
  </si>
  <si>
    <t>Más fácil entrenar freelances</t>
  </si>
  <si>
    <t>Mayor expertise percibida</t>
  </si>
  <si>
    <t>PARA CLIENTES:</t>
  </si>
  <si>
    <t>Soluciones más enfocadas y efectivas</t>
  </si>
  <si>
    <t>Menos "parálisis por análisis"</t>
  </si>
  <si>
    <t>Resultados más rápidos y medibles</t>
  </si>
  <si>
    <t>Inversión más eficiente</t>
  </si>
  <si>
    <t>PARA FREELANCES:</t>
  </si>
  <si>
    <t>Curva de aprendizaje más corta</t>
  </si>
  <si>
    <t>Mayor confianza en la ejecución</t>
  </si>
  <si>
    <t>Materiales más manejables</t>
  </si>
  <si>
    <t>Mejor calidad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</si>
</sst>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3.5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rgb="FF383A4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7" fillId="0" borderId="0" xfId="0" applyFont="1"/>
    <xf numFmtId="16" fontId="0" fillId="0" borderId="0" xfId="0" applyNumberFormat="1"/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96269C0C-CB46-47D0-AE55-5C0E7315A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11DA-D825-4973-8242-8EA30C448DDE}">
  <dimension ref="A1:P15"/>
  <sheetViews>
    <sheetView tabSelected="1" topLeftCell="G1" zoomScale="80" zoomScaleNormal="80" workbookViewId="0">
      <selection activeCell="G1" sqref="G1"/>
    </sheetView>
  </sheetViews>
  <sheetFormatPr baseColWidth="10" defaultRowHeight="15"/>
  <cols>
    <col min="1" max="1" width="3.5703125" style="8" customWidth="1"/>
    <col min="2" max="2" width="32" style="8" customWidth="1"/>
    <col min="3" max="3" width="22.42578125" style="8" customWidth="1"/>
    <col min="4" max="4" width="52.42578125" style="8" customWidth="1"/>
    <col min="5" max="6" width="29" style="8" customWidth="1"/>
    <col min="7" max="9" width="34" style="8" customWidth="1"/>
    <col min="10" max="10" width="28.5703125" style="8" customWidth="1"/>
    <col min="11" max="11" width="29" style="8" customWidth="1"/>
    <col min="12" max="12" width="33.7109375" style="8" customWidth="1"/>
    <col min="13" max="13" width="29" style="8" customWidth="1"/>
    <col min="14" max="14" width="35.7109375" style="8" customWidth="1"/>
    <col min="15" max="15" width="23.85546875" style="8" customWidth="1"/>
    <col min="16" max="16" width="30" style="8" customWidth="1"/>
    <col min="17" max="16384" width="11.42578125" style="8"/>
  </cols>
  <sheetData>
    <row r="1" spans="1:16" ht="3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J1" s="8" t="s">
        <v>8</v>
      </c>
      <c r="K1" s="8" t="s">
        <v>7</v>
      </c>
      <c r="L1" s="9" t="s">
        <v>10</v>
      </c>
      <c r="M1" s="8" t="s">
        <v>9</v>
      </c>
      <c r="O1" s="9" t="s">
        <v>242</v>
      </c>
      <c r="P1" s="9" t="s">
        <v>195</v>
      </c>
    </row>
    <row r="2" spans="1:16" ht="73.5" customHeight="1">
      <c r="A2" s="8">
        <v>1</v>
      </c>
      <c r="B2" s="9" t="s">
        <v>11</v>
      </c>
      <c r="C2" s="9" t="s">
        <v>12</v>
      </c>
      <c r="D2" s="9" t="s">
        <v>13</v>
      </c>
      <c r="E2" s="9" t="s">
        <v>243</v>
      </c>
      <c r="F2" s="9" t="s">
        <v>208</v>
      </c>
      <c r="G2" s="9" t="s">
        <v>211</v>
      </c>
      <c r="H2" s="15" t="s">
        <v>245</v>
      </c>
      <c r="I2" s="16" t="s">
        <v>246</v>
      </c>
      <c r="J2" s="9" t="s">
        <v>105</v>
      </c>
      <c r="K2" s="10" t="s">
        <v>14</v>
      </c>
      <c r="L2" s="9" t="s">
        <v>109</v>
      </c>
      <c r="M2" s="4" t="s">
        <v>222</v>
      </c>
      <c r="N2" s="9" t="s">
        <v>216</v>
      </c>
      <c r="O2" s="2" t="s">
        <v>240</v>
      </c>
      <c r="P2" s="9" t="s">
        <v>196</v>
      </c>
    </row>
    <row r="3" spans="1:16" ht="30">
      <c r="B3" s="9" t="s">
        <v>11</v>
      </c>
      <c r="C3" s="9"/>
      <c r="D3" s="9"/>
      <c r="E3" s="9" t="s">
        <v>207</v>
      </c>
      <c r="F3" s="9" t="s">
        <v>210</v>
      </c>
      <c r="G3" s="9" t="s">
        <v>212</v>
      </c>
      <c r="H3" s="9"/>
      <c r="I3" s="9"/>
      <c r="J3" s="9" t="s">
        <v>215</v>
      </c>
      <c r="K3" s="11"/>
      <c r="L3" s="9" t="s">
        <v>219</v>
      </c>
      <c r="M3" s="5"/>
      <c r="N3" s="9" t="s">
        <v>217</v>
      </c>
      <c r="O3" s="9"/>
      <c r="P3" s="9"/>
    </row>
    <row r="4" spans="1:16" ht="30">
      <c r="B4" s="9" t="s">
        <v>11</v>
      </c>
      <c r="C4" s="9"/>
      <c r="D4" s="9"/>
      <c r="E4" s="9" t="s">
        <v>244</v>
      </c>
      <c r="F4" s="9" t="s">
        <v>209</v>
      </c>
      <c r="G4" s="9" t="s">
        <v>213</v>
      </c>
      <c r="H4" s="9"/>
      <c r="I4" s="9"/>
      <c r="J4" s="9" t="s">
        <v>214</v>
      </c>
      <c r="K4" s="11"/>
      <c r="L4" s="9" t="s">
        <v>220</v>
      </c>
      <c r="M4" s="3"/>
      <c r="N4" s="9" t="s">
        <v>218</v>
      </c>
      <c r="O4" s="9"/>
      <c r="P4" s="9"/>
    </row>
    <row r="5" spans="1:16">
      <c r="B5" s="9"/>
      <c r="C5" s="9"/>
      <c r="D5" s="9"/>
      <c r="E5" s="9"/>
      <c r="F5" s="9"/>
      <c r="G5" s="9"/>
      <c r="H5" s="9"/>
      <c r="I5" s="9"/>
      <c r="K5" s="9"/>
      <c r="L5" s="9" t="s">
        <v>221</v>
      </c>
      <c r="M5" s="4"/>
      <c r="N5" s="9"/>
      <c r="O5" s="9"/>
      <c r="P5" s="9"/>
    </row>
    <row r="6" spans="1:16">
      <c r="B6" s="9"/>
      <c r="C6" s="9"/>
      <c r="D6" s="9"/>
      <c r="E6" s="9"/>
      <c r="F6" s="9"/>
      <c r="G6" s="9"/>
      <c r="H6" s="9"/>
      <c r="I6" s="9"/>
      <c r="K6" s="9"/>
      <c r="L6" s="9"/>
      <c r="M6" s="12"/>
      <c r="N6" s="9"/>
      <c r="O6" s="9"/>
      <c r="P6" s="9"/>
    </row>
    <row r="7" spans="1:16" ht="60">
      <c r="A7" s="8">
        <v>2</v>
      </c>
      <c r="B7" s="9" t="s">
        <v>15</v>
      </c>
      <c r="C7" s="9" t="s">
        <v>16</v>
      </c>
      <c r="D7" s="9" t="s">
        <v>17</v>
      </c>
      <c r="E7" s="9" t="s">
        <v>18</v>
      </c>
      <c r="F7" s="9" t="s">
        <v>19</v>
      </c>
      <c r="G7" s="9" t="s">
        <v>20</v>
      </c>
      <c r="H7" s="9"/>
      <c r="I7" s="9"/>
      <c r="J7" s="8" t="s">
        <v>22</v>
      </c>
      <c r="K7" s="9" t="s">
        <v>21</v>
      </c>
      <c r="L7" s="9" t="s">
        <v>24</v>
      </c>
      <c r="M7" s="13" t="s">
        <v>223</v>
      </c>
      <c r="N7" s="9" t="s">
        <v>23</v>
      </c>
      <c r="O7" s="9" t="s">
        <v>239</v>
      </c>
      <c r="P7" s="9" t="s">
        <v>197</v>
      </c>
    </row>
    <row r="8" spans="1:16" ht="60">
      <c r="A8" s="8">
        <v>3</v>
      </c>
      <c r="B8" s="9" t="s">
        <v>25</v>
      </c>
      <c r="C8" s="9" t="s">
        <v>206</v>
      </c>
      <c r="D8" s="9" t="s">
        <v>26</v>
      </c>
      <c r="E8" s="9" t="s">
        <v>27</v>
      </c>
      <c r="F8" s="9" t="s">
        <v>28</v>
      </c>
      <c r="G8" s="9" t="s">
        <v>29</v>
      </c>
      <c r="H8" s="9"/>
      <c r="I8" s="9"/>
      <c r="J8" s="8" t="s">
        <v>31</v>
      </c>
      <c r="K8" s="9" t="s">
        <v>30</v>
      </c>
      <c r="L8" s="9" t="s">
        <v>33</v>
      </c>
      <c r="M8" s="13" t="s">
        <v>224</v>
      </c>
      <c r="N8" s="9" t="s">
        <v>32</v>
      </c>
      <c r="O8" s="9" t="s">
        <v>241</v>
      </c>
      <c r="P8" s="9" t="s">
        <v>198</v>
      </c>
    </row>
    <row r="9" spans="1:16" ht="75">
      <c r="A9" s="8">
        <v>4</v>
      </c>
      <c r="B9" s="9" t="s">
        <v>34</v>
      </c>
      <c r="C9" s="9" t="s">
        <v>35</v>
      </c>
      <c r="D9" s="9" t="s">
        <v>36</v>
      </c>
      <c r="E9" s="9" t="s">
        <v>37</v>
      </c>
      <c r="F9" s="9" t="s">
        <v>38</v>
      </c>
      <c r="G9" s="9" t="s">
        <v>39</v>
      </c>
      <c r="H9" s="9"/>
      <c r="I9" s="9"/>
      <c r="J9" s="8" t="s">
        <v>41</v>
      </c>
      <c r="K9" s="9" t="s">
        <v>40</v>
      </c>
      <c r="L9" s="9" t="s">
        <v>43</v>
      </c>
      <c r="M9" s="13" t="s">
        <v>225</v>
      </c>
      <c r="N9" s="9" t="s">
        <v>42</v>
      </c>
      <c r="O9" s="14" t="s">
        <v>226</v>
      </c>
      <c r="P9" s="9" t="s">
        <v>199</v>
      </c>
    </row>
    <row r="10" spans="1:16" ht="60">
      <c r="A10" s="8">
        <v>5</v>
      </c>
      <c r="B10" s="9" t="s">
        <v>44</v>
      </c>
      <c r="C10" s="9" t="s">
        <v>45</v>
      </c>
      <c r="D10" s="9" t="s">
        <v>46</v>
      </c>
      <c r="E10" s="9" t="s">
        <v>47</v>
      </c>
      <c r="F10" s="9" t="s">
        <v>48</v>
      </c>
      <c r="G10" s="9" t="s">
        <v>49</v>
      </c>
      <c r="H10" s="9"/>
      <c r="I10" s="9"/>
      <c r="J10" s="8" t="s">
        <v>51</v>
      </c>
      <c r="K10" s="9" t="s">
        <v>50</v>
      </c>
      <c r="L10" s="9" t="s">
        <v>53</v>
      </c>
      <c r="M10" s="13" t="s">
        <v>227</v>
      </c>
      <c r="N10" s="9" t="s">
        <v>52</v>
      </c>
      <c r="O10" s="14" t="s">
        <v>228</v>
      </c>
      <c r="P10" s="9" t="s">
        <v>200</v>
      </c>
    </row>
    <row r="11" spans="1:16" ht="75">
      <c r="A11" s="8">
        <v>6</v>
      </c>
      <c r="B11" s="9" t="s">
        <v>54</v>
      </c>
      <c r="C11" s="9" t="s">
        <v>55</v>
      </c>
      <c r="D11" s="9" t="s">
        <v>56</v>
      </c>
      <c r="E11" s="9" t="s">
        <v>57</v>
      </c>
      <c r="F11" s="9" t="s">
        <v>58</v>
      </c>
      <c r="G11" s="9" t="s">
        <v>59</v>
      </c>
      <c r="H11" s="9"/>
      <c r="I11" s="9"/>
      <c r="J11" s="8" t="s">
        <v>61</v>
      </c>
      <c r="K11" s="9" t="s">
        <v>60</v>
      </c>
      <c r="L11" s="9" t="s">
        <v>63</v>
      </c>
      <c r="M11" s="13" t="s">
        <v>229</v>
      </c>
      <c r="N11" s="9" t="s">
        <v>62</v>
      </c>
      <c r="O11" s="14" t="s">
        <v>230</v>
      </c>
      <c r="P11" s="9" t="s">
        <v>201</v>
      </c>
    </row>
    <row r="12" spans="1:16" ht="60">
      <c r="A12" s="8">
        <v>7</v>
      </c>
      <c r="B12" s="9" t="s">
        <v>64</v>
      </c>
      <c r="C12" s="9" t="s">
        <v>65</v>
      </c>
      <c r="D12" s="9" t="s">
        <v>66</v>
      </c>
      <c r="E12" s="9" t="s">
        <v>67</v>
      </c>
      <c r="F12" s="9" t="s">
        <v>68</v>
      </c>
      <c r="G12" s="9" t="s">
        <v>69</v>
      </c>
      <c r="H12" s="9"/>
      <c r="I12" s="9"/>
      <c r="J12" s="8" t="s">
        <v>71</v>
      </c>
      <c r="K12" s="9" t="s">
        <v>70</v>
      </c>
      <c r="L12" s="9" t="s">
        <v>73</v>
      </c>
      <c r="M12" s="13" t="s">
        <v>231</v>
      </c>
      <c r="N12" s="9" t="s">
        <v>72</v>
      </c>
      <c r="O12" s="14" t="s">
        <v>232</v>
      </c>
      <c r="P12" s="9" t="s">
        <v>202</v>
      </c>
    </row>
    <row r="13" spans="1:16" ht="75">
      <c r="A13" s="8">
        <v>8</v>
      </c>
      <c r="B13" s="9" t="s">
        <v>74</v>
      </c>
      <c r="C13" s="9" t="s">
        <v>75</v>
      </c>
      <c r="D13" s="9" t="s">
        <v>76</v>
      </c>
      <c r="E13" s="9" t="s">
        <v>77</v>
      </c>
      <c r="F13" s="9" t="s">
        <v>78</v>
      </c>
      <c r="G13" s="9" t="s">
        <v>79</v>
      </c>
      <c r="H13" s="9"/>
      <c r="I13" s="9"/>
      <c r="J13" s="8" t="s">
        <v>81</v>
      </c>
      <c r="K13" s="9" t="s">
        <v>80</v>
      </c>
      <c r="L13" s="9" t="s">
        <v>83</v>
      </c>
      <c r="M13" s="13" t="s">
        <v>233</v>
      </c>
      <c r="N13" s="9" t="s">
        <v>82</v>
      </c>
      <c r="O13" s="14" t="s">
        <v>234</v>
      </c>
      <c r="P13" s="9" t="s">
        <v>203</v>
      </c>
    </row>
    <row r="14" spans="1:16" ht="60">
      <c r="A14" s="8">
        <v>9</v>
      </c>
      <c r="B14" s="9" t="s">
        <v>84</v>
      </c>
      <c r="C14" s="9" t="s">
        <v>85</v>
      </c>
      <c r="D14" s="9" t="s">
        <v>86</v>
      </c>
      <c r="E14" s="9" t="s">
        <v>87</v>
      </c>
      <c r="F14" s="9" t="s">
        <v>88</v>
      </c>
      <c r="G14" s="9" t="s">
        <v>89</v>
      </c>
      <c r="H14" s="9"/>
      <c r="I14" s="9"/>
      <c r="J14" s="8" t="s">
        <v>91</v>
      </c>
      <c r="K14" s="9" t="s">
        <v>90</v>
      </c>
      <c r="L14" s="9" t="s">
        <v>93</v>
      </c>
      <c r="M14" s="13" t="s">
        <v>235</v>
      </c>
      <c r="N14" s="9" t="s">
        <v>92</v>
      </c>
      <c r="O14" s="14" t="s">
        <v>236</v>
      </c>
      <c r="P14" s="9" t="s">
        <v>204</v>
      </c>
    </row>
    <row r="15" spans="1:16" ht="60">
      <c r="A15" s="8">
        <v>10</v>
      </c>
      <c r="B15" s="9" t="s">
        <v>94</v>
      </c>
      <c r="C15" s="9" t="s">
        <v>95</v>
      </c>
      <c r="D15" s="9" t="s">
        <v>96</v>
      </c>
      <c r="E15" s="9" t="s">
        <v>97</v>
      </c>
      <c r="F15" s="9" t="s">
        <v>98</v>
      </c>
      <c r="G15" s="9" t="s">
        <v>99</v>
      </c>
      <c r="H15" s="9"/>
      <c r="I15" s="9"/>
      <c r="J15" s="8" t="s">
        <v>101</v>
      </c>
      <c r="K15" s="9" t="s">
        <v>100</v>
      </c>
      <c r="L15" s="9" t="s">
        <v>103</v>
      </c>
      <c r="M15" s="13" t="s">
        <v>237</v>
      </c>
      <c r="N15" s="9" t="s">
        <v>102</v>
      </c>
      <c r="O15" s="14" t="s">
        <v>238</v>
      </c>
      <c r="P15" s="9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3E36-5B20-4F2B-8384-80342D43A39D}">
  <dimension ref="A1:H81"/>
  <sheetViews>
    <sheetView topLeftCell="A64" workbookViewId="0">
      <selection activeCell="F3" sqref="F3"/>
    </sheetView>
  </sheetViews>
  <sheetFormatPr baseColWidth="10" defaultRowHeight="15"/>
  <cols>
    <col min="1" max="1" width="31.7109375" customWidth="1"/>
    <col min="3" max="3" width="42.140625" customWidth="1"/>
    <col min="4" max="4" width="18.42578125" style="7" customWidth="1"/>
    <col min="5" max="6" width="18.42578125" style="1" customWidth="1"/>
    <col min="7" max="7" width="24.140625" style="1" customWidth="1"/>
    <col min="8" max="8" width="10" customWidth="1"/>
  </cols>
  <sheetData>
    <row r="1" spans="1:8" ht="30">
      <c r="A1" t="s">
        <v>187</v>
      </c>
      <c r="B1" t="s">
        <v>188</v>
      </c>
      <c r="C1" t="s">
        <v>189</v>
      </c>
      <c r="D1" s="7" t="s">
        <v>191</v>
      </c>
      <c r="E1" s="1" t="s">
        <v>192</v>
      </c>
      <c r="F1" s="1" t="s">
        <v>193</v>
      </c>
      <c r="G1" s="1" t="s">
        <v>194</v>
      </c>
      <c r="H1" s="6" t="s">
        <v>190</v>
      </c>
    </row>
    <row r="2" spans="1:8">
      <c r="A2" t="s">
        <v>11</v>
      </c>
      <c r="B2" t="s">
        <v>104</v>
      </c>
      <c r="C2" t="s">
        <v>105</v>
      </c>
      <c r="D2" s="7">
        <v>5</v>
      </c>
      <c r="E2" s="1">
        <v>25</v>
      </c>
      <c r="F2" s="1">
        <v>10</v>
      </c>
      <c r="G2" s="1">
        <v>0.8</v>
      </c>
      <c r="H2">
        <f>(D2 * E2) * (1 + F2) * G2</f>
        <v>1100</v>
      </c>
    </row>
    <row r="3" spans="1:8">
      <c r="A3" t="s">
        <v>11</v>
      </c>
      <c r="B3" t="s">
        <v>104</v>
      </c>
      <c r="C3" t="s">
        <v>106</v>
      </c>
      <c r="D3" s="7">
        <v>3</v>
      </c>
      <c r="E3" s="1">
        <v>25</v>
      </c>
      <c r="F3" s="1">
        <v>5</v>
      </c>
      <c r="G3" s="1">
        <v>0.8</v>
      </c>
      <c r="H3">
        <f t="shared" ref="H3:H65" si="0">(D3 * E3) * (1 + F3) * G3</f>
        <v>360</v>
      </c>
    </row>
    <row r="4" spans="1:8">
      <c r="A4" t="s">
        <v>11</v>
      </c>
      <c r="B4" t="s">
        <v>104</v>
      </c>
      <c r="C4" t="s">
        <v>107</v>
      </c>
      <c r="D4" s="7">
        <v>3</v>
      </c>
      <c r="E4" s="1">
        <v>25</v>
      </c>
      <c r="F4" s="1">
        <v>5</v>
      </c>
      <c r="G4" s="1">
        <v>0.8</v>
      </c>
      <c r="H4">
        <f t="shared" si="0"/>
        <v>360</v>
      </c>
    </row>
    <row r="5" spans="1:8">
      <c r="A5" t="s">
        <v>11</v>
      </c>
      <c r="B5" t="s">
        <v>108</v>
      </c>
      <c r="C5" t="s">
        <v>109</v>
      </c>
      <c r="D5" s="7">
        <v>1</v>
      </c>
      <c r="E5" s="1">
        <v>50</v>
      </c>
      <c r="F5" s="1">
        <v>5</v>
      </c>
      <c r="G5" s="1">
        <v>0.3</v>
      </c>
      <c r="H5">
        <f t="shared" si="0"/>
        <v>90</v>
      </c>
    </row>
    <row r="6" spans="1:8">
      <c r="A6" t="s">
        <v>11</v>
      </c>
      <c r="B6" t="s">
        <v>108</v>
      </c>
      <c r="C6" t="s">
        <v>110</v>
      </c>
      <c r="D6" s="7">
        <v>1</v>
      </c>
      <c r="E6" s="1">
        <v>50</v>
      </c>
      <c r="F6" s="1">
        <v>5</v>
      </c>
      <c r="G6" s="1">
        <v>0.3</v>
      </c>
      <c r="H6">
        <f t="shared" si="0"/>
        <v>90</v>
      </c>
    </row>
    <row r="7" spans="1:8">
      <c r="A7" t="s">
        <v>11</v>
      </c>
      <c r="B7" t="s">
        <v>108</v>
      </c>
      <c r="C7" t="s">
        <v>111</v>
      </c>
      <c r="D7" s="7">
        <v>1</v>
      </c>
      <c r="E7" s="1">
        <v>50</v>
      </c>
      <c r="F7" s="1">
        <v>5</v>
      </c>
      <c r="G7" s="1">
        <v>0.3</v>
      </c>
      <c r="H7">
        <f t="shared" si="0"/>
        <v>90</v>
      </c>
    </row>
    <row r="8" spans="1:8">
      <c r="A8" t="s">
        <v>11</v>
      </c>
      <c r="B8" t="s">
        <v>112</v>
      </c>
      <c r="C8" t="s">
        <v>113</v>
      </c>
      <c r="D8" s="7">
        <v>1</v>
      </c>
      <c r="E8" s="1">
        <v>100</v>
      </c>
      <c r="F8" s="1">
        <v>5</v>
      </c>
      <c r="G8" s="1">
        <v>1</v>
      </c>
      <c r="H8">
        <f t="shared" si="0"/>
        <v>600</v>
      </c>
    </row>
    <row r="9" spans="1:8">
      <c r="A9" t="s">
        <v>11</v>
      </c>
      <c r="B9" t="s">
        <v>112</v>
      </c>
      <c r="C9" t="s">
        <v>114</v>
      </c>
      <c r="D9" s="7">
        <v>1</v>
      </c>
      <c r="E9" s="1">
        <v>100</v>
      </c>
      <c r="F9" s="1">
        <v>5</v>
      </c>
      <c r="G9" s="1">
        <v>1</v>
      </c>
      <c r="H9">
        <f t="shared" si="0"/>
        <v>600</v>
      </c>
    </row>
    <row r="10" spans="1:8">
      <c r="A10" t="s">
        <v>15</v>
      </c>
      <c r="B10" t="s">
        <v>104</v>
      </c>
      <c r="C10" t="s">
        <v>115</v>
      </c>
      <c r="D10" s="7">
        <v>3</v>
      </c>
      <c r="E10" s="1">
        <v>25</v>
      </c>
      <c r="F10" s="1">
        <v>5</v>
      </c>
      <c r="G10" s="1">
        <v>0.8</v>
      </c>
      <c r="H10">
        <f t="shared" si="0"/>
        <v>360</v>
      </c>
    </row>
    <row r="11" spans="1:8">
      <c r="A11" t="s">
        <v>15</v>
      </c>
      <c r="B11" t="s">
        <v>104</v>
      </c>
      <c r="C11" t="s">
        <v>116</v>
      </c>
      <c r="D11" s="7">
        <v>3</v>
      </c>
      <c r="E11" s="1">
        <v>25</v>
      </c>
      <c r="F11" s="1">
        <v>5</v>
      </c>
      <c r="G11" s="1">
        <v>0.8</v>
      </c>
      <c r="H11">
        <f t="shared" si="0"/>
        <v>360</v>
      </c>
    </row>
    <row r="12" spans="1:8">
      <c r="A12" t="s">
        <v>15</v>
      </c>
      <c r="B12" t="s">
        <v>104</v>
      </c>
      <c r="C12" t="s">
        <v>117</v>
      </c>
      <c r="D12" s="7">
        <v>3</v>
      </c>
      <c r="E12" s="1">
        <v>25</v>
      </c>
      <c r="F12" s="1">
        <v>5</v>
      </c>
      <c r="G12" s="1">
        <v>0.8</v>
      </c>
      <c r="H12">
        <f t="shared" si="0"/>
        <v>360</v>
      </c>
    </row>
    <row r="13" spans="1:8">
      <c r="A13" t="s">
        <v>15</v>
      </c>
      <c r="B13" t="s">
        <v>108</v>
      </c>
      <c r="C13" t="s">
        <v>118</v>
      </c>
      <c r="D13" s="7">
        <v>1</v>
      </c>
      <c r="E13" s="1">
        <v>50</v>
      </c>
      <c r="F13" s="1">
        <v>5</v>
      </c>
      <c r="G13" s="1">
        <v>0.3</v>
      </c>
      <c r="H13">
        <f t="shared" si="0"/>
        <v>90</v>
      </c>
    </row>
    <row r="14" spans="1:8">
      <c r="A14" t="s">
        <v>15</v>
      </c>
      <c r="B14" t="s">
        <v>108</v>
      </c>
      <c r="C14" t="s">
        <v>119</v>
      </c>
      <c r="D14" s="7">
        <v>1</v>
      </c>
      <c r="E14" s="1">
        <v>50</v>
      </c>
      <c r="F14" s="1">
        <v>5</v>
      </c>
      <c r="G14" s="1">
        <v>0.3</v>
      </c>
      <c r="H14">
        <f t="shared" si="0"/>
        <v>90</v>
      </c>
    </row>
    <row r="15" spans="1:8">
      <c r="A15" t="s">
        <v>15</v>
      </c>
      <c r="B15" t="s">
        <v>108</v>
      </c>
      <c r="C15" t="s">
        <v>120</v>
      </c>
      <c r="D15" s="7">
        <v>1</v>
      </c>
      <c r="E15" s="1">
        <v>50</v>
      </c>
      <c r="F15" s="1">
        <v>5</v>
      </c>
      <c r="G15" s="1">
        <v>0.3</v>
      </c>
      <c r="H15">
        <f t="shared" si="0"/>
        <v>90</v>
      </c>
    </row>
    <row r="16" spans="1:8">
      <c r="A16" t="s">
        <v>15</v>
      </c>
      <c r="B16" t="s">
        <v>112</v>
      </c>
      <c r="C16" t="s">
        <v>121</v>
      </c>
      <c r="D16" s="7">
        <v>1</v>
      </c>
      <c r="E16" s="1">
        <v>100</v>
      </c>
      <c r="F16" s="1">
        <v>5</v>
      </c>
      <c r="G16" s="1">
        <v>1</v>
      </c>
      <c r="H16">
        <f t="shared" si="0"/>
        <v>600</v>
      </c>
    </row>
    <row r="17" spans="1:8">
      <c r="A17" t="s">
        <v>15</v>
      </c>
      <c r="B17" t="s">
        <v>112</v>
      </c>
      <c r="C17" t="s">
        <v>122</v>
      </c>
      <c r="D17" s="7">
        <v>1</v>
      </c>
      <c r="E17" s="1">
        <v>100</v>
      </c>
      <c r="F17" s="1">
        <v>5</v>
      </c>
      <c r="G17" s="1">
        <v>1</v>
      </c>
      <c r="H17">
        <f t="shared" si="0"/>
        <v>600</v>
      </c>
    </row>
    <row r="18" spans="1:8">
      <c r="A18" t="s">
        <v>25</v>
      </c>
      <c r="B18" t="s">
        <v>104</v>
      </c>
      <c r="C18" t="s">
        <v>123</v>
      </c>
      <c r="D18" s="7">
        <v>3</v>
      </c>
      <c r="E18" s="1">
        <v>25</v>
      </c>
      <c r="F18" s="1">
        <v>5</v>
      </c>
      <c r="G18" s="1">
        <v>0.8</v>
      </c>
      <c r="H18">
        <f t="shared" si="0"/>
        <v>360</v>
      </c>
    </row>
    <row r="19" spans="1:8">
      <c r="A19" t="s">
        <v>25</v>
      </c>
      <c r="B19" t="s">
        <v>104</v>
      </c>
      <c r="C19" t="s">
        <v>124</v>
      </c>
      <c r="D19" s="7">
        <v>3</v>
      </c>
      <c r="E19" s="1">
        <v>25</v>
      </c>
      <c r="F19" s="1">
        <v>5</v>
      </c>
      <c r="G19" s="1">
        <v>0.8</v>
      </c>
      <c r="H19">
        <f t="shared" si="0"/>
        <v>360</v>
      </c>
    </row>
    <row r="20" spans="1:8">
      <c r="A20" t="s">
        <v>25</v>
      </c>
      <c r="B20" t="s">
        <v>104</v>
      </c>
      <c r="C20" t="s">
        <v>125</v>
      </c>
      <c r="D20" s="7">
        <v>3</v>
      </c>
      <c r="E20" s="1">
        <v>25</v>
      </c>
      <c r="F20" s="1">
        <v>5</v>
      </c>
      <c r="G20" s="1">
        <v>0.8</v>
      </c>
      <c r="H20">
        <f t="shared" si="0"/>
        <v>360</v>
      </c>
    </row>
    <row r="21" spans="1:8">
      <c r="A21" t="s">
        <v>25</v>
      </c>
      <c r="B21" t="s">
        <v>108</v>
      </c>
      <c r="C21" t="s">
        <v>126</v>
      </c>
      <c r="D21" s="7">
        <v>1</v>
      </c>
      <c r="E21" s="1">
        <v>50</v>
      </c>
      <c r="F21" s="1">
        <v>5</v>
      </c>
      <c r="G21" s="1">
        <v>0.3</v>
      </c>
      <c r="H21">
        <f t="shared" si="0"/>
        <v>90</v>
      </c>
    </row>
    <row r="22" spans="1:8">
      <c r="A22" t="s">
        <v>25</v>
      </c>
      <c r="B22" t="s">
        <v>108</v>
      </c>
      <c r="C22" t="s">
        <v>127</v>
      </c>
      <c r="D22" s="7">
        <v>1</v>
      </c>
      <c r="E22" s="1">
        <v>50</v>
      </c>
      <c r="F22" s="1">
        <v>5</v>
      </c>
      <c r="G22" s="1">
        <v>0.3</v>
      </c>
      <c r="H22">
        <f t="shared" si="0"/>
        <v>90</v>
      </c>
    </row>
    <row r="23" spans="1:8">
      <c r="A23" t="s">
        <v>25</v>
      </c>
      <c r="B23" t="s">
        <v>108</v>
      </c>
      <c r="C23" t="s">
        <v>128</v>
      </c>
      <c r="D23" s="7">
        <v>1</v>
      </c>
      <c r="E23" s="1">
        <v>50</v>
      </c>
      <c r="F23" s="1">
        <v>5</v>
      </c>
      <c r="G23" s="1">
        <v>0.3</v>
      </c>
      <c r="H23">
        <f t="shared" si="0"/>
        <v>90</v>
      </c>
    </row>
    <row r="24" spans="1:8">
      <c r="A24" t="s">
        <v>25</v>
      </c>
      <c r="B24" t="s">
        <v>112</v>
      </c>
      <c r="C24" t="s">
        <v>129</v>
      </c>
      <c r="D24" s="7">
        <v>1</v>
      </c>
      <c r="E24" s="1">
        <v>100</v>
      </c>
      <c r="F24" s="1">
        <v>5</v>
      </c>
      <c r="G24" s="1">
        <v>1</v>
      </c>
      <c r="H24">
        <f t="shared" si="0"/>
        <v>600</v>
      </c>
    </row>
    <row r="25" spans="1:8">
      <c r="A25" t="s">
        <v>25</v>
      </c>
      <c r="B25" t="s">
        <v>112</v>
      </c>
      <c r="C25" t="s">
        <v>130</v>
      </c>
      <c r="D25" s="7">
        <v>1</v>
      </c>
      <c r="E25" s="1">
        <v>100</v>
      </c>
      <c r="F25" s="1">
        <v>5</v>
      </c>
      <c r="G25" s="1">
        <v>1</v>
      </c>
      <c r="H25">
        <f t="shared" si="0"/>
        <v>600</v>
      </c>
    </row>
    <row r="26" spans="1:8">
      <c r="A26" t="s">
        <v>44</v>
      </c>
      <c r="B26" t="s">
        <v>104</v>
      </c>
      <c r="C26" t="s">
        <v>131</v>
      </c>
      <c r="D26" s="7">
        <v>3</v>
      </c>
      <c r="E26" s="1">
        <v>25</v>
      </c>
      <c r="F26" s="1">
        <v>5</v>
      </c>
      <c r="G26" s="1">
        <v>0.8</v>
      </c>
      <c r="H26">
        <f t="shared" si="0"/>
        <v>360</v>
      </c>
    </row>
    <row r="27" spans="1:8">
      <c r="A27" t="s">
        <v>44</v>
      </c>
      <c r="B27" t="s">
        <v>104</v>
      </c>
      <c r="C27" t="s">
        <v>132</v>
      </c>
      <c r="D27" s="7">
        <v>3</v>
      </c>
      <c r="E27" s="1">
        <v>25</v>
      </c>
      <c r="F27" s="1">
        <v>5</v>
      </c>
      <c r="G27" s="1">
        <v>0.8</v>
      </c>
      <c r="H27">
        <f t="shared" si="0"/>
        <v>360</v>
      </c>
    </row>
    <row r="28" spans="1:8">
      <c r="A28" t="s">
        <v>44</v>
      </c>
      <c r="B28" t="s">
        <v>104</v>
      </c>
      <c r="C28" t="s">
        <v>133</v>
      </c>
      <c r="D28" s="7">
        <v>3</v>
      </c>
      <c r="E28" s="1">
        <v>25</v>
      </c>
      <c r="F28" s="1">
        <v>5</v>
      </c>
      <c r="G28" s="1">
        <v>0.8</v>
      </c>
      <c r="H28">
        <f t="shared" si="0"/>
        <v>360</v>
      </c>
    </row>
    <row r="29" spans="1:8">
      <c r="A29" t="s">
        <v>44</v>
      </c>
      <c r="B29" t="s">
        <v>108</v>
      </c>
      <c r="C29" t="s">
        <v>134</v>
      </c>
      <c r="D29" s="7">
        <v>1</v>
      </c>
      <c r="E29" s="1">
        <v>50</v>
      </c>
      <c r="F29" s="1">
        <v>5</v>
      </c>
      <c r="G29" s="1">
        <v>0.3</v>
      </c>
      <c r="H29">
        <f t="shared" si="0"/>
        <v>90</v>
      </c>
    </row>
    <row r="30" spans="1:8">
      <c r="A30" t="s">
        <v>44</v>
      </c>
      <c r="B30" t="s">
        <v>108</v>
      </c>
      <c r="C30" t="s">
        <v>135</v>
      </c>
      <c r="D30" s="7">
        <v>1</v>
      </c>
      <c r="E30" s="1">
        <v>50</v>
      </c>
      <c r="F30" s="1">
        <v>5</v>
      </c>
      <c r="G30" s="1">
        <v>0.3</v>
      </c>
      <c r="H30">
        <f t="shared" si="0"/>
        <v>90</v>
      </c>
    </row>
    <row r="31" spans="1:8">
      <c r="A31" t="s">
        <v>44</v>
      </c>
      <c r="B31" t="s">
        <v>108</v>
      </c>
      <c r="C31" t="s">
        <v>136</v>
      </c>
      <c r="D31" s="7">
        <v>1</v>
      </c>
      <c r="E31" s="1">
        <v>50</v>
      </c>
      <c r="F31" s="1">
        <v>5</v>
      </c>
      <c r="G31" s="1">
        <v>0.3</v>
      </c>
      <c r="H31">
        <f t="shared" si="0"/>
        <v>90</v>
      </c>
    </row>
    <row r="32" spans="1:8">
      <c r="A32" t="s">
        <v>44</v>
      </c>
      <c r="B32" t="s">
        <v>112</v>
      </c>
      <c r="C32" t="s">
        <v>137</v>
      </c>
      <c r="D32" s="7">
        <v>1</v>
      </c>
      <c r="E32" s="1">
        <v>100</v>
      </c>
      <c r="F32" s="1">
        <v>5</v>
      </c>
      <c r="G32" s="1">
        <v>1</v>
      </c>
      <c r="H32">
        <f t="shared" si="0"/>
        <v>600</v>
      </c>
    </row>
    <row r="33" spans="1:8">
      <c r="A33" t="s">
        <v>44</v>
      </c>
      <c r="B33" t="s">
        <v>112</v>
      </c>
      <c r="C33" t="s">
        <v>138</v>
      </c>
      <c r="D33" s="7">
        <v>1</v>
      </c>
      <c r="E33" s="1">
        <v>100</v>
      </c>
      <c r="F33" s="1">
        <v>5</v>
      </c>
      <c r="G33" s="1">
        <v>1</v>
      </c>
      <c r="H33">
        <f t="shared" si="0"/>
        <v>600</v>
      </c>
    </row>
    <row r="34" spans="1:8">
      <c r="A34" t="s">
        <v>54</v>
      </c>
      <c r="B34" t="s">
        <v>104</v>
      </c>
      <c r="C34" t="s">
        <v>139</v>
      </c>
      <c r="D34" s="7">
        <v>3</v>
      </c>
      <c r="E34" s="1">
        <v>25</v>
      </c>
      <c r="F34" s="1">
        <v>5</v>
      </c>
      <c r="G34" s="1">
        <v>0.8</v>
      </c>
      <c r="H34">
        <f t="shared" si="0"/>
        <v>360</v>
      </c>
    </row>
    <row r="35" spans="1:8">
      <c r="A35" t="s">
        <v>54</v>
      </c>
      <c r="B35" t="s">
        <v>104</v>
      </c>
      <c r="C35" t="s">
        <v>140</v>
      </c>
      <c r="D35" s="7">
        <v>3</v>
      </c>
      <c r="E35" s="1">
        <v>25</v>
      </c>
      <c r="F35" s="1">
        <v>5</v>
      </c>
      <c r="G35" s="1">
        <v>0.8</v>
      </c>
      <c r="H35">
        <f t="shared" si="0"/>
        <v>360</v>
      </c>
    </row>
    <row r="36" spans="1:8">
      <c r="A36" t="s">
        <v>54</v>
      </c>
      <c r="B36" t="s">
        <v>104</v>
      </c>
      <c r="C36" t="s">
        <v>141</v>
      </c>
      <c r="D36" s="7">
        <v>3</v>
      </c>
      <c r="E36" s="1">
        <v>25</v>
      </c>
      <c r="F36" s="1">
        <v>5</v>
      </c>
      <c r="G36" s="1">
        <v>0.8</v>
      </c>
      <c r="H36">
        <f t="shared" si="0"/>
        <v>360</v>
      </c>
    </row>
    <row r="37" spans="1:8">
      <c r="A37" t="s">
        <v>54</v>
      </c>
      <c r="B37" t="s">
        <v>108</v>
      </c>
      <c r="C37" t="s">
        <v>142</v>
      </c>
      <c r="D37" s="7">
        <v>1</v>
      </c>
      <c r="E37" s="1">
        <v>50</v>
      </c>
      <c r="F37" s="1">
        <v>5</v>
      </c>
      <c r="G37" s="1">
        <v>0.3</v>
      </c>
      <c r="H37">
        <f t="shared" si="0"/>
        <v>90</v>
      </c>
    </row>
    <row r="38" spans="1:8">
      <c r="A38" t="s">
        <v>54</v>
      </c>
      <c r="B38" t="s">
        <v>108</v>
      </c>
      <c r="C38" t="s">
        <v>143</v>
      </c>
      <c r="D38" s="7">
        <v>1</v>
      </c>
      <c r="E38" s="1">
        <v>50</v>
      </c>
      <c r="F38" s="1">
        <v>5</v>
      </c>
      <c r="G38" s="1">
        <v>0.3</v>
      </c>
      <c r="H38">
        <f t="shared" si="0"/>
        <v>90</v>
      </c>
    </row>
    <row r="39" spans="1:8">
      <c r="A39" t="s">
        <v>54</v>
      </c>
      <c r="B39" t="s">
        <v>108</v>
      </c>
      <c r="C39" t="s">
        <v>144</v>
      </c>
      <c r="D39" s="7">
        <v>1</v>
      </c>
      <c r="E39" s="1">
        <v>50</v>
      </c>
      <c r="F39" s="1">
        <v>5</v>
      </c>
      <c r="G39" s="1">
        <v>0.3</v>
      </c>
      <c r="H39">
        <f t="shared" si="0"/>
        <v>90</v>
      </c>
    </row>
    <row r="40" spans="1:8">
      <c r="A40" t="s">
        <v>54</v>
      </c>
      <c r="B40" t="s">
        <v>112</v>
      </c>
      <c r="C40" t="s">
        <v>145</v>
      </c>
      <c r="D40" s="7">
        <v>1</v>
      </c>
      <c r="E40" s="1">
        <v>100</v>
      </c>
      <c r="F40" s="1">
        <v>5</v>
      </c>
      <c r="G40" s="1">
        <v>1</v>
      </c>
      <c r="H40">
        <f t="shared" si="0"/>
        <v>600</v>
      </c>
    </row>
    <row r="41" spans="1:8">
      <c r="A41" t="s">
        <v>54</v>
      </c>
      <c r="B41" t="s">
        <v>112</v>
      </c>
      <c r="C41" t="s">
        <v>146</v>
      </c>
      <c r="D41" s="7">
        <v>1</v>
      </c>
      <c r="E41" s="1">
        <v>100</v>
      </c>
      <c r="F41" s="1">
        <v>5</v>
      </c>
      <c r="G41" s="1">
        <v>1</v>
      </c>
      <c r="H41">
        <f t="shared" si="0"/>
        <v>600</v>
      </c>
    </row>
    <row r="42" spans="1:8">
      <c r="A42" t="s">
        <v>94</v>
      </c>
      <c r="B42" t="s">
        <v>104</v>
      </c>
      <c r="C42" t="s">
        <v>147</v>
      </c>
      <c r="D42" s="7">
        <v>3</v>
      </c>
      <c r="E42" s="1">
        <v>25</v>
      </c>
      <c r="F42" s="1">
        <v>5</v>
      </c>
      <c r="G42" s="1">
        <v>0.8</v>
      </c>
      <c r="H42">
        <f t="shared" si="0"/>
        <v>360</v>
      </c>
    </row>
    <row r="43" spans="1:8">
      <c r="A43" t="s">
        <v>94</v>
      </c>
      <c r="B43" t="s">
        <v>104</v>
      </c>
      <c r="C43" t="s">
        <v>148</v>
      </c>
      <c r="D43" s="7">
        <v>3</v>
      </c>
      <c r="E43" s="1">
        <v>25</v>
      </c>
      <c r="F43" s="1">
        <v>5</v>
      </c>
      <c r="G43" s="1">
        <v>0.8</v>
      </c>
      <c r="H43">
        <f t="shared" si="0"/>
        <v>360</v>
      </c>
    </row>
    <row r="44" spans="1:8">
      <c r="A44" t="s">
        <v>94</v>
      </c>
      <c r="B44" t="s">
        <v>104</v>
      </c>
      <c r="C44" t="s">
        <v>149</v>
      </c>
      <c r="D44" s="7">
        <v>3</v>
      </c>
      <c r="E44" s="1">
        <v>25</v>
      </c>
      <c r="F44" s="1">
        <v>5</v>
      </c>
      <c r="G44" s="1">
        <v>0.8</v>
      </c>
      <c r="H44">
        <f t="shared" si="0"/>
        <v>360</v>
      </c>
    </row>
    <row r="45" spans="1:8">
      <c r="A45" t="s">
        <v>94</v>
      </c>
      <c r="B45" t="s">
        <v>108</v>
      </c>
      <c r="C45" t="s">
        <v>150</v>
      </c>
      <c r="D45" s="7">
        <v>1</v>
      </c>
      <c r="E45" s="1">
        <v>50</v>
      </c>
      <c r="F45" s="1">
        <v>5</v>
      </c>
      <c r="G45" s="1">
        <v>0.3</v>
      </c>
      <c r="H45">
        <f t="shared" si="0"/>
        <v>90</v>
      </c>
    </row>
    <row r="46" spans="1:8">
      <c r="A46" t="s">
        <v>94</v>
      </c>
      <c r="B46" t="s">
        <v>108</v>
      </c>
      <c r="C46" t="s">
        <v>151</v>
      </c>
      <c r="D46" s="7">
        <v>1</v>
      </c>
      <c r="E46" s="1">
        <v>50</v>
      </c>
      <c r="F46" s="1">
        <v>5</v>
      </c>
      <c r="G46" s="1">
        <v>0.3</v>
      </c>
      <c r="H46">
        <f t="shared" si="0"/>
        <v>90</v>
      </c>
    </row>
    <row r="47" spans="1:8">
      <c r="A47" t="s">
        <v>94</v>
      </c>
      <c r="B47" t="s">
        <v>108</v>
      </c>
      <c r="C47" t="s">
        <v>152</v>
      </c>
      <c r="D47" s="7">
        <v>1</v>
      </c>
      <c r="E47" s="1">
        <v>50</v>
      </c>
      <c r="F47" s="1">
        <v>5</v>
      </c>
      <c r="G47" s="1">
        <v>0.3</v>
      </c>
      <c r="H47">
        <f t="shared" si="0"/>
        <v>90</v>
      </c>
    </row>
    <row r="48" spans="1:8">
      <c r="A48" t="s">
        <v>94</v>
      </c>
      <c r="B48" t="s">
        <v>112</v>
      </c>
      <c r="C48" t="s">
        <v>153</v>
      </c>
      <c r="D48" s="7">
        <v>1</v>
      </c>
      <c r="E48" s="1">
        <v>100</v>
      </c>
      <c r="F48" s="1">
        <v>5</v>
      </c>
      <c r="G48" s="1">
        <v>1</v>
      </c>
      <c r="H48">
        <f t="shared" si="0"/>
        <v>600</v>
      </c>
    </row>
    <row r="49" spans="1:8">
      <c r="A49" t="s">
        <v>94</v>
      </c>
      <c r="B49" t="s">
        <v>112</v>
      </c>
      <c r="C49" t="s">
        <v>154</v>
      </c>
      <c r="D49" s="7">
        <v>1</v>
      </c>
      <c r="E49" s="1">
        <v>100</v>
      </c>
      <c r="F49" s="1">
        <v>5</v>
      </c>
      <c r="G49" s="1">
        <v>1</v>
      </c>
      <c r="H49">
        <f t="shared" si="0"/>
        <v>600</v>
      </c>
    </row>
    <row r="50" spans="1:8">
      <c r="A50" t="s">
        <v>34</v>
      </c>
      <c r="B50" t="s">
        <v>104</v>
      </c>
      <c r="C50" t="s">
        <v>155</v>
      </c>
      <c r="D50" s="7">
        <v>3</v>
      </c>
      <c r="E50" s="1">
        <v>25</v>
      </c>
      <c r="F50" s="1">
        <v>5</v>
      </c>
      <c r="G50" s="1">
        <v>0.8</v>
      </c>
      <c r="H50">
        <f t="shared" si="0"/>
        <v>360</v>
      </c>
    </row>
    <row r="51" spans="1:8">
      <c r="A51" t="s">
        <v>34</v>
      </c>
      <c r="B51" t="s">
        <v>104</v>
      </c>
      <c r="C51" t="s">
        <v>156</v>
      </c>
      <c r="D51" s="7">
        <v>3</v>
      </c>
      <c r="E51" s="1">
        <v>25</v>
      </c>
      <c r="F51" s="1">
        <v>5</v>
      </c>
      <c r="G51" s="1">
        <v>0.8</v>
      </c>
      <c r="H51">
        <f t="shared" si="0"/>
        <v>360</v>
      </c>
    </row>
    <row r="52" spans="1:8">
      <c r="A52" t="s">
        <v>34</v>
      </c>
      <c r="B52" t="s">
        <v>104</v>
      </c>
      <c r="C52" t="s">
        <v>157</v>
      </c>
      <c r="D52" s="7">
        <v>3</v>
      </c>
      <c r="E52" s="1">
        <v>25</v>
      </c>
      <c r="F52" s="1">
        <v>5</v>
      </c>
      <c r="G52" s="1">
        <v>0.8</v>
      </c>
      <c r="H52">
        <f t="shared" si="0"/>
        <v>360</v>
      </c>
    </row>
    <row r="53" spans="1:8">
      <c r="A53" t="s">
        <v>34</v>
      </c>
      <c r="B53" t="s">
        <v>108</v>
      </c>
      <c r="C53" t="s">
        <v>158</v>
      </c>
      <c r="D53" s="7">
        <v>1</v>
      </c>
      <c r="E53" s="1">
        <v>50</v>
      </c>
      <c r="F53" s="1">
        <v>5</v>
      </c>
      <c r="G53" s="1">
        <v>0.3</v>
      </c>
      <c r="H53">
        <f t="shared" si="0"/>
        <v>90</v>
      </c>
    </row>
    <row r="54" spans="1:8">
      <c r="A54" t="s">
        <v>34</v>
      </c>
      <c r="B54" t="s">
        <v>108</v>
      </c>
      <c r="C54" t="s">
        <v>159</v>
      </c>
      <c r="D54" s="7">
        <v>1</v>
      </c>
      <c r="E54" s="1">
        <v>50</v>
      </c>
      <c r="F54" s="1">
        <v>5</v>
      </c>
      <c r="G54" s="1">
        <v>0.3</v>
      </c>
      <c r="H54">
        <f t="shared" si="0"/>
        <v>90</v>
      </c>
    </row>
    <row r="55" spans="1:8">
      <c r="A55" t="s">
        <v>34</v>
      </c>
      <c r="B55" t="s">
        <v>108</v>
      </c>
      <c r="C55" t="s">
        <v>160</v>
      </c>
      <c r="D55" s="7">
        <v>1</v>
      </c>
      <c r="E55" s="1">
        <v>50</v>
      </c>
      <c r="F55" s="1">
        <v>5</v>
      </c>
      <c r="G55" s="1">
        <v>0.3</v>
      </c>
      <c r="H55">
        <f t="shared" si="0"/>
        <v>90</v>
      </c>
    </row>
    <row r="56" spans="1:8">
      <c r="A56" t="s">
        <v>34</v>
      </c>
      <c r="B56" t="s">
        <v>112</v>
      </c>
      <c r="C56" t="s">
        <v>161</v>
      </c>
      <c r="D56" s="7">
        <v>1</v>
      </c>
      <c r="E56" s="1">
        <v>100</v>
      </c>
      <c r="F56" s="1">
        <v>5</v>
      </c>
      <c r="G56" s="1">
        <v>1</v>
      </c>
      <c r="H56">
        <f t="shared" si="0"/>
        <v>600</v>
      </c>
    </row>
    <row r="57" spans="1:8">
      <c r="A57" t="s">
        <v>34</v>
      </c>
      <c r="B57" t="s">
        <v>112</v>
      </c>
      <c r="C57" t="s">
        <v>162</v>
      </c>
      <c r="D57" s="7">
        <v>1</v>
      </c>
      <c r="E57" s="1">
        <v>100</v>
      </c>
      <c r="F57" s="1">
        <v>5</v>
      </c>
      <c r="G57" s="1">
        <v>1</v>
      </c>
      <c r="H57">
        <f t="shared" si="0"/>
        <v>600</v>
      </c>
    </row>
    <row r="58" spans="1:8">
      <c r="A58" t="s">
        <v>84</v>
      </c>
      <c r="B58" t="s">
        <v>104</v>
      </c>
      <c r="C58" t="s">
        <v>163</v>
      </c>
      <c r="D58" s="7">
        <v>3</v>
      </c>
      <c r="E58" s="1">
        <v>25</v>
      </c>
      <c r="F58" s="1">
        <v>5</v>
      </c>
      <c r="G58" s="1">
        <v>0.8</v>
      </c>
      <c r="H58">
        <f t="shared" si="0"/>
        <v>360</v>
      </c>
    </row>
    <row r="59" spans="1:8">
      <c r="A59" t="s">
        <v>84</v>
      </c>
      <c r="B59" t="s">
        <v>104</v>
      </c>
      <c r="C59" t="s">
        <v>164</v>
      </c>
      <c r="D59" s="7">
        <v>3</v>
      </c>
      <c r="E59" s="1">
        <v>25</v>
      </c>
      <c r="F59" s="1">
        <v>5</v>
      </c>
      <c r="G59" s="1">
        <v>0.8</v>
      </c>
      <c r="H59">
        <f t="shared" si="0"/>
        <v>360</v>
      </c>
    </row>
    <row r="60" spans="1:8">
      <c r="A60" t="s">
        <v>84</v>
      </c>
      <c r="B60" t="s">
        <v>104</v>
      </c>
      <c r="C60" t="s">
        <v>165</v>
      </c>
      <c r="D60" s="7">
        <v>3</v>
      </c>
      <c r="E60" s="1">
        <v>25</v>
      </c>
      <c r="F60" s="1">
        <v>5</v>
      </c>
      <c r="G60" s="1">
        <v>0.8</v>
      </c>
      <c r="H60">
        <f t="shared" si="0"/>
        <v>360</v>
      </c>
    </row>
    <row r="61" spans="1:8">
      <c r="A61" t="s">
        <v>84</v>
      </c>
      <c r="B61" t="s">
        <v>108</v>
      </c>
      <c r="C61" t="s">
        <v>166</v>
      </c>
      <c r="D61" s="7">
        <v>1</v>
      </c>
      <c r="E61" s="1">
        <v>50</v>
      </c>
      <c r="F61" s="1">
        <v>5</v>
      </c>
      <c r="G61" s="1">
        <v>0.3</v>
      </c>
      <c r="H61">
        <f t="shared" si="0"/>
        <v>90</v>
      </c>
    </row>
    <row r="62" spans="1:8">
      <c r="A62" t="s">
        <v>84</v>
      </c>
      <c r="B62" t="s">
        <v>108</v>
      </c>
      <c r="C62" t="s">
        <v>167</v>
      </c>
      <c r="D62" s="7">
        <v>1</v>
      </c>
      <c r="E62" s="1">
        <v>50</v>
      </c>
      <c r="F62" s="1">
        <v>5</v>
      </c>
      <c r="G62" s="1">
        <v>0.3</v>
      </c>
      <c r="H62">
        <f t="shared" si="0"/>
        <v>90</v>
      </c>
    </row>
    <row r="63" spans="1:8">
      <c r="A63" t="s">
        <v>84</v>
      </c>
      <c r="B63" t="s">
        <v>108</v>
      </c>
      <c r="C63" t="s">
        <v>168</v>
      </c>
      <c r="D63" s="7">
        <v>1</v>
      </c>
      <c r="E63" s="1">
        <v>50</v>
      </c>
      <c r="F63" s="1">
        <v>5</v>
      </c>
      <c r="G63" s="1">
        <v>0.3</v>
      </c>
      <c r="H63">
        <f t="shared" si="0"/>
        <v>90</v>
      </c>
    </row>
    <row r="64" spans="1:8">
      <c r="A64" t="s">
        <v>84</v>
      </c>
      <c r="B64" t="s">
        <v>112</v>
      </c>
      <c r="C64" t="s">
        <v>169</v>
      </c>
      <c r="D64" s="7">
        <v>1</v>
      </c>
      <c r="E64" s="1">
        <v>100</v>
      </c>
      <c r="F64" s="1">
        <v>5</v>
      </c>
      <c r="G64" s="1">
        <v>1</v>
      </c>
      <c r="H64">
        <f t="shared" si="0"/>
        <v>600</v>
      </c>
    </row>
    <row r="65" spans="1:8">
      <c r="A65" t="s">
        <v>84</v>
      </c>
      <c r="B65" t="s">
        <v>112</v>
      </c>
      <c r="C65" t="s">
        <v>170</v>
      </c>
      <c r="D65" s="7">
        <v>1</v>
      </c>
      <c r="E65" s="1">
        <v>100</v>
      </c>
      <c r="F65" s="1">
        <v>5</v>
      </c>
      <c r="G65" s="1">
        <v>1</v>
      </c>
      <c r="H65">
        <f t="shared" si="0"/>
        <v>600</v>
      </c>
    </row>
    <row r="66" spans="1:8">
      <c r="A66" t="s">
        <v>64</v>
      </c>
      <c r="B66" t="s">
        <v>104</v>
      </c>
      <c r="C66" t="s">
        <v>171</v>
      </c>
      <c r="D66" s="7">
        <v>3</v>
      </c>
      <c r="E66" s="1">
        <v>25</v>
      </c>
      <c r="F66" s="1">
        <v>5</v>
      </c>
      <c r="G66" s="1">
        <v>0.8</v>
      </c>
      <c r="H66">
        <f t="shared" ref="H66:H81" si="1">(D66 * E66) * (1 + F66) * G66</f>
        <v>360</v>
      </c>
    </row>
    <row r="67" spans="1:8">
      <c r="A67" t="s">
        <v>64</v>
      </c>
      <c r="B67" t="s">
        <v>104</v>
      </c>
      <c r="C67" t="s">
        <v>172</v>
      </c>
      <c r="D67" s="7">
        <v>3</v>
      </c>
      <c r="E67" s="1">
        <v>25</v>
      </c>
      <c r="F67" s="1">
        <v>5</v>
      </c>
      <c r="G67" s="1">
        <v>0.8</v>
      </c>
      <c r="H67">
        <f t="shared" si="1"/>
        <v>360</v>
      </c>
    </row>
    <row r="68" spans="1:8">
      <c r="A68" t="s">
        <v>64</v>
      </c>
      <c r="B68" t="s">
        <v>104</v>
      </c>
      <c r="C68" t="s">
        <v>173</v>
      </c>
      <c r="D68" s="7">
        <v>3</v>
      </c>
      <c r="E68" s="1">
        <v>25</v>
      </c>
      <c r="F68" s="1">
        <v>5</v>
      </c>
      <c r="G68" s="1">
        <v>0.8</v>
      </c>
      <c r="H68">
        <f t="shared" si="1"/>
        <v>360</v>
      </c>
    </row>
    <row r="69" spans="1:8">
      <c r="A69" t="s">
        <v>64</v>
      </c>
      <c r="B69" t="s">
        <v>108</v>
      </c>
      <c r="C69" t="s">
        <v>174</v>
      </c>
      <c r="D69" s="7">
        <v>1</v>
      </c>
      <c r="E69" s="1">
        <v>50</v>
      </c>
      <c r="F69" s="1">
        <v>5</v>
      </c>
      <c r="G69" s="1">
        <v>0.3</v>
      </c>
      <c r="H69">
        <f t="shared" si="1"/>
        <v>90</v>
      </c>
    </row>
    <row r="70" spans="1:8">
      <c r="A70" t="s">
        <v>64</v>
      </c>
      <c r="B70" t="s">
        <v>108</v>
      </c>
      <c r="C70" t="s">
        <v>175</v>
      </c>
      <c r="D70" s="7">
        <v>1</v>
      </c>
      <c r="E70" s="1">
        <v>50</v>
      </c>
      <c r="F70" s="1">
        <v>5</v>
      </c>
      <c r="G70" s="1">
        <v>0.3</v>
      </c>
      <c r="H70">
        <f t="shared" si="1"/>
        <v>90</v>
      </c>
    </row>
    <row r="71" spans="1:8">
      <c r="A71" t="s">
        <v>64</v>
      </c>
      <c r="B71" t="s">
        <v>108</v>
      </c>
      <c r="C71" t="s">
        <v>176</v>
      </c>
      <c r="D71" s="7">
        <v>1</v>
      </c>
      <c r="E71" s="1">
        <v>50</v>
      </c>
      <c r="F71" s="1">
        <v>5</v>
      </c>
      <c r="G71" s="1">
        <v>0.3</v>
      </c>
      <c r="H71">
        <f t="shared" si="1"/>
        <v>90</v>
      </c>
    </row>
    <row r="72" spans="1:8">
      <c r="A72" t="s">
        <v>64</v>
      </c>
      <c r="B72" t="s">
        <v>112</v>
      </c>
      <c r="C72" t="s">
        <v>177</v>
      </c>
      <c r="D72" s="7">
        <v>1</v>
      </c>
      <c r="E72" s="1">
        <v>100</v>
      </c>
      <c r="F72" s="1">
        <v>5</v>
      </c>
      <c r="G72" s="1">
        <v>1</v>
      </c>
      <c r="H72">
        <f t="shared" si="1"/>
        <v>600</v>
      </c>
    </row>
    <row r="73" spans="1:8">
      <c r="A73" t="s">
        <v>64</v>
      </c>
      <c r="B73" t="s">
        <v>112</v>
      </c>
      <c r="C73" t="s">
        <v>178</v>
      </c>
      <c r="D73" s="7">
        <v>1</v>
      </c>
      <c r="E73" s="1">
        <v>100</v>
      </c>
      <c r="F73" s="1">
        <v>5</v>
      </c>
      <c r="G73" s="1">
        <v>1</v>
      </c>
      <c r="H73">
        <f t="shared" si="1"/>
        <v>600</v>
      </c>
    </row>
    <row r="74" spans="1:8">
      <c r="A74" t="s">
        <v>74</v>
      </c>
      <c r="B74" t="s">
        <v>104</v>
      </c>
      <c r="C74" t="s">
        <v>179</v>
      </c>
      <c r="D74" s="7">
        <v>3</v>
      </c>
      <c r="E74" s="1">
        <v>25</v>
      </c>
      <c r="F74" s="1">
        <v>5</v>
      </c>
      <c r="G74" s="1">
        <v>0.8</v>
      </c>
      <c r="H74">
        <f t="shared" si="1"/>
        <v>360</v>
      </c>
    </row>
    <row r="75" spans="1:8">
      <c r="A75" t="s">
        <v>74</v>
      </c>
      <c r="B75" t="s">
        <v>104</v>
      </c>
      <c r="C75" t="s">
        <v>180</v>
      </c>
      <c r="D75" s="7">
        <v>3</v>
      </c>
      <c r="E75" s="1">
        <v>25</v>
      </c>
      <c r="F75" s="1">
        <v>5</v>
      </c>
      <c r="G75" s="1">
        <v>0.8</v>
      </c>
      <c r="H75">
        <f t="shared" si="1"/>
        <v>360</v>
      </c>
    </row>
    <row r="76" spans="1:8">
      <c r="A76" t="s">
        <v>74</v>
      </c>
      <c r="B76" t="s">
        <v>104</v>
      </c>
      <c r="C76" t="s">
        <v>181</v>
      </c>
      <c r="D76" s="7">
        <v>3</v>
      </c>
      <c r="E76" s="1">
        <v>25</v>
      </c>
      <c r="F76" s="1">
        <v>5</v>
      </c>
      <c r="G76" s="1">
        <v>0.8</v>
      </c>
      <c r="H76">
        <f t="shared" si="1"/>
        <v>360</v>
      </c>
    </row>
    <row r="77" spans="1:8">
      <c r="A77" t="s">
        <v>74</v>
      </c>
      <c r="B77" t="s">
        <v>108</v>
      </c>
      <c r="C77" t="s">
        <v>182</v>
      </c>
      <c r="D77" s="7">
        <v>1</v>
      </c>
      <c r="E77" s="1">
        <v>50</v>
      </c>
      <c r="F77" s="1">
        <v>5</v>
      </c>
      <c r="G77" s="1">
        <v>0.3</v>
      </c>
      <c r="H77">
        <f t="shared" si="1"/>
        <v>90</v>
      </c>
    </row>
    <row r="78" spans="1:8">
      <c r="A78" t="s">
        <v>74</v>
      </c>
      <c r="B78" t="s">
        <v>108</v>
      </c>
      <c r="C78" t="s">
        <v>183</v>
      </c>
      <c r="D78" s="7">
        <v>1</v>
      </c>
      <c r="E78" s="1">
        <v>50</v>
      </c>
      <c r="F78" s="1">
        <v>5</v>
      </c>
      <c r="G78" s="1">
        <v>0.3</v>
      </c>
      <c r="H78">
        <f t="shared" si="1"/>
        <v>90</v>
      </c>
    </row>
    <row r="79" spans="1:8">
      <c r="A79" t="s">
        <v>74</v>
      </c>
      <c r="B79" t="s">
        <v>108</v>
      </c>
      <c r="C79" t="s">
        <v>184</v>
      </c>
      <c r="D79" s="7">
        <v>3</v>
      </c>
      <c r="E79" s="1">
        <v>50</v>
      </c>
      <c r="F79" s="1">
        <v>5</v>
      </c>
      <c r="G79" s="1">
        <v>0.3</v>
      </c>
      <c r="H79">
        <f t="shared" si="1"/>
        <v>270</v>
      </c>
    </row>
    <row r="80" spans="1:8">
      <c r="A80" t="s">
        <v>74</v>
      </c>
      <c r="B80" t="s">
        <v>112</v>
      </c>
      <c r="C80" t="s">
        <v>185</v>
      </c>
      <c r="D80" s="7">
        <v>1</v>
      </c>
      <c r="E80" s="1">
        <v>100</v>
      </c>
      <c r="F80" s="1">
        <v>5</v>
      </c>
      <c r="G80" s="1">
        <v>1</v>
      </c>
      <c r="H80">
        <f t="shared" si="1"/>
        <v>600</v>
      </c>
    </row>
    <row r="81" spans="1:8">
      <c r="A81" t="s">
        <v>74</v>
      </c>
      <c r="B81" t="s">
        <v>112</v>
      </c>
      <c r="C81" t="s">
        <v>186</v>
      </c>
      <c r="D81" s="7">
        <v>1</v>
      </c>
      <c r="E81" s="1">
        <v>100</v>
      </c>
      <c r="F81" s="1">
        <v>5</v>
      </c>
      <c r="G81" s="1">
        <v>1</v>
      </c>
      <c r="H81">
        <f t="shared" si="1"/>
        <v>600</v>
      </c>
    </row>
  </sheetData>
  <autoFilter ref="A1:H81" xr:uid="{F5B53E36-5B20-4F2B-8384-80342D43A39D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DA4B-3F17-44D1-A0A7-34ACCEBC5995}">
  <sheetPr filterMode="1"/>
  <dimension ref="A1:AD69"/>
  <sheetViews>
    <sheetView topLeftCell="A9" workbookViewId="0">
      <selection activeCell="F22" sqref="F22"/>
    </sheetView>
  </sheetViews>
  <sheetFormatPr baseColWidth="10" defaultRowHeight="15"/>
  <cols>
    <col min="1" max="1" width="16.7109375" style="9" customWidth="1"/>
    <col min="2" max="2" width="23.7109375" style="9" customWidth="1"/>
    <col min="3" max="4" width="30.5703125" style="9" customWidth="1"/>
    <col min="5" max="7" width="23.7109375" style="9" customWidth="1"/>
    <col min="8" max="9" width="19.140625" style="9" customWidth="1"/>
    <col min="10" max="30" width="23.7109375" style="9" customWidth="1"/>
    <col min="31" max="16384" width="11.42578125" style="9"/>
  </cols>
  <sheetData>
    <row r="1" spans="1:30" ht="30">
      <c r="A1" s="9" t="s">
        <v>248</v>
      </c>
      <c r="B1" s="9" t="s">
        <v>256</v>
      </c>
      <c r="C1" s="9" t="s">
        <v>257</v>
      </c>
      <c r="D1" s="9" t="s">
        <v>258</v>
      </c>
      <c r="E1" s="9" t="s">
        <v>492</v>
      </c>
      <c r="F1" s="9" t="s">
        <v>3</v>
      </c>
      <c r="G1" s="9" t="s">
        <v>264</v>
      </c>
      <c r="H1" s="9" t="s">
        <v>265</v>
      </c>
      <c r="I1" s="9" t="s">
        <v>493</v>
      </c>
      <c r="J1" s="9" t="s">
        <v>494</v>
      </c>
      <c r="K1" s="9" t="s">
        <v>259</v>
      </c>
      <c r="L1" s="9" t="s">
        <v>495</v>
      </c>
      <c r="M1" s="9" t="s">
        <v>475</v>
      </c>
      <c r="N1" s="9" t="s">
        <v>496</v>
      </c>
      <c r="O1" s="9" t="s">
        <v>104</v>
      </c>
      <c r="P1" s="9" t="s">
        <v>262</v>
      </c>
      <c r="Q1" s="9" t="s">
        <v>263</v>
      </c>
      <c r="R1" s="9" t="s">
        <v>264</v>
      </c>
      <c r="S1" s="9" t="s">
        <v>265</v>
      </c>
      <c r="T1" s="9" t="s">
        <v>266</v>
      </c>
      <c r="U1" s="9" t="s">
        <v>267</v>
      </c>
      <c r="V1" s="9" t="s">
        <v>268</v>
      </c>
      <c r="W1" s="9" t="s">
        <v>269</v>
      </c>
      <c r="X1" s="9" t="s">
        <v>270</v>
      </c>
      <c r="Y1" s="9" t="s">
        <v>271</v>
      </c>
      <c r="Z1" s="9" t="s">
        <v>475</v>
      </c>
      <c r="AA1" s="9" t="s">
        <v>476</v>
      </c>
      <c r="AB1" s="9" t="s">
        <v>332</v>
      </c>
      <c r="AC1" s="9" t="s">
        <v>333</v>
      </c>
      <c r="AD1" s="9" t="s">
        <v>334</v>
      </c>
    </row>
    <row r="2" spans="1:30" ht="60">
      <c r="A2" s="9" t="s">
        <v>249</v>
      </c>
      <c r="B2" s="9" t="s">
        <v>578</v>
      </c>
      <c r="C2" s="9" t="s">
        <v>579</v>
      </c>
      <c r="D2" s="9" t="s">
        <v>580</v>
      </c>
      <c r="E2" s="9" t="s">
        <v>500</v>
      </c>
      <c r="F2" s="9" t="s">
        <v>581</v>
      </c>
      <c r="G2" s="9" t="s">
        <v>501</v>
      </c>
      <c r="H2" s="9">
        <v>2</v>
      </c>
      <c r="I2" s="9" t="s">
        <v>477</v>
      </c>
      <c r="J2" s="9" t="s">
        <v>318</v>
      </c>
      <c r="K2" s="9" t="s">
        <v>582</v>
      </c>
      <c r="L2" s="9" t="s">
        <v>504</v>
      </c>
      <c r="M2" s="9" t="s">
        <v>490</v>
      </c>
      <c r="N2" s="9" t="s">
        <v>502</v>
      </c>
      <c r="O2" s="9" t="s">
        <v>583</v>
      </c>
      <c r="P2" s="9" t="s">
        <v>309</v>
      </c>
      <c r="Q2" s="9" t="s">
        <v>584</v>
      </c>
      <c r="R2" s="9" t="s">
        <v>414</v>
      </c>
      <c r="S2" s="9">
        <v>2</v>
      </c>
      <c r="T2" s="9">
        <v>20</v>
      </c>
      <c r="U2" s="9" t="s">
        <v>274</v>
      </c>
      <c r="V2" s="9" t="s">
        <v>585</v>
      </c>
      <c r="W2" s="9" t="s">
        <v>586</v>
      </c>
      <c r="X2" s="9" t="s">
        <v>587</v>
      </c>
      <c r="Y2" s="9" t="s">
        <v>276</v>
      </c>
      <c r="Z2" s="9" t="s">
        <v>477</v>
      </c>
      <c r="AA2" s="9" t="s">
        <v>478</v>
      </c>
      <c r="AB2" s="9" t="s">
        <v>588</v>
      </c>
      <c r="AC2" s="9" t="s">
        <v>589</v>
      </c>
      <c r="AD2" s="9" t="s">
        <v>590</v>
      </c>
    </row>
    <row r="3" spans="1:30" ht="45" hidden="1">
      <c r="A3" s="9" t="s">
        <v>249</v>
      </c>
      <c r="B3" s="9" t="s">
        <v>578</v>
      </c>
      <c r="C3" s="9" t="s">
        <v>579</v>
      </c>
      <c r="D3" s="9" t="s">
        <v>580</v>
      </c>
      <c r="E3" s="9" t="s">
        <v>591</v>
      </c>
      <c r="F3" s="9" t="s">
        <v>592</v>
      </c>
      <c r="G3" s="9" t="s">
        <v>593</v>
      </c>
      <c r="H3" s="9">
        <v>2</v>
      </c>
      <c r="I3" s="9" t="s">
        <v>484</v>
      </c>
      <c r="J3" s="9" t="s">
        <v>274</v>
      </c>
      <c r="K3" s="9" t="s">
        <v>594</v>
      </c>
      <c r="L3" s="9" t="s">
        <v>498</v>
      </c>
      <c r="M3" s="9" t="s">
        <v>490</v>
      </c>
      <c r="N3" s="9" t="s">
        <v>485</v>
      </c>
      <c r="O3" s="9" t="s">
        <v>595</v>
      </c>
      <c r="S3" s="9" t="s">
        <v>596</v>
      </c>
      <c r="T3" s="9" t="s">
        <v>597</v>
      </c>
      <c r="U3" s="9" t="s">
        <v>598</v>
      </c>
    </row>
    <row r="4" spans="1:30" ht="75">
      <c r="A4" s="9" t="s">
        <v>250</v>
      </c>
      <c r="B4" s="9" t="s">
        <v>599</v>
      </c>
      <c r="C4" s="9" t="s">
        <v>600</v>
      </c>
      <c r="D4" s="9" t="s">
        <v>601</v>
      </c>
      <c r="E4" s="9" t="s">
        <v>602</v>
      </c>
      <c r="F4" s="9" t="s">
        <v>603</v>
      </c>
      <c r="G4" s="9" t="s">
        <v>604</v>
      </c>
      <c r="H4" s="9">
        <v>3</v>
      </c>
      <c r="I4" s="9" t="s">
        <v>477</v>
      </c>
      <c r="J4" s="9" t="s">
        <v>318</v>
      </c>
      <c r="K4" s="9" t="s">
        <v>605</v>
      </c>
      <c r="L4" s="9" t="s">
        <v>498</v>
      </c>
      <c r="M4" s="9" t="s">
        <v>490</v>
      </c>
      <c r="N4" s="9" t="s">
        <v>502</v>
      </c>
      <c r="O4" s="9" t="s">
        <v>583</v>
      </c>
      <c r="P4" s="9" t="s">
        <v>296</v>
      </c>
      <c r="Q4" s="9" t="s">
        <v>606</v>
      </c>
      <c r="R4" s="9" t="s">
        <v>377</v>
      </c>
      <c r="S4" s="9">
        <v>3</v>
      </c>
      <c r="T4" s="9">
        <v>25</v>
      </c>
      <c r="U4" s="9" t="s">
        <v>279</v>
      </c>
      <c r="V4" s="9" t="s">
        <v>607</v>
      </c>
      <c r="W4" s="9" t="s">
        <v>608</v>
      </c>
      <c r="X4" s="9" t="s">
        <v>609</v>
      </c>
      <c r="Y4" s="9" t="s">
        <v>610</v>
      </c>
      <c r="Z4" s="9" t="s">
        <v>481</v>
      </c>
      <c r="AA4" s="9" t="s">
        <v>485</v>
      </c>
      <c r="AB4" s="9" t="s">
        <v>611</v>
      </c>
      <c r="AC4" s="9" t="s">
        <v>612</v>
      </c>
      <c r="AD4" s="9" t="s">
        <v>613</v>
      </c>
    </row>
    <row r="5" spans="1:30" ht="45" hidden="1">
      <c r="A5" s="9" t="s">
        <v>250</v>
      </c>
      <c r="B5" s="9" t="s">
        <v>599</v>
      </c>
      <c r="C5" s="9" t="s">
        <v>600</v>
      </c>
      <c r="D5" s="9" t="s">
        <v>601</v>
      </c>
      <c r="E5" s="9" t="s">
        <v>614</v>
      </c>
      <c r="F5" s="9" t="s">
        <v>615</v>
      </c>
      <c r="G5" s="9" t="s">
        <v>616</v>
      </c>
      <c r="H5" s="9">
        <v>2</v>
      </c>
      <c r="I5" s="9" t="s">
        <v>490</v>
      </c>
      <c r="J5" s="9" t="s">
        <v>318</v>
      </c>
      <c r="K5" s="9" t="s">
        <v>617</v>
      </c>
      <c r="L5" s="9" t="s">
        <v>503</v>
      </c>
      <c r="M5" s="9" t="s">
        <v>499</v>
      </c>
      <c r="N5" s="9" t="s">
        <v>486</v>
      </c>
      <c r="O5" s="9" t="s">
        <v>595</v>
      </c>
      <c r="S5" s="9" t="s">
        <v>618</v>
      </c>
      <c r="T5" s="9" t="s">
        <v>619</v>
      </c>
      <c r="U5" s="9" t="s">
        <v>620</v>
      </c>
    </row>
    <row r="6" spans="1:30" ht="60">
      <c r="A6" s="9" t="s">
        <v>252</v>
      </c>
      <c r="B6" s="9" t="s">
        <v>621</v>
      </c>
      <c r="C6" s="9" t="s">
        <v>622</v>
      </c>
      <c r="D6" s="9" t="s">
        <v>623</v>
      </c>
      <c r="E6" s="9" t="s">
        <v>624</v>
      </c>
      <c r="F6" s="9" t="s">
        <v>625</v>
      </c>
      <c r="G6" s="9" t="s">
        <v>626</v>
      </c>
      <c r="H6" s="9">
        <v>2</v>
      </c>
      <c r="I6" s="9" t="s">
        <v>484</v>
      </c>
      <c r="J6" s="9" t="s">
        <v>274</v>
      </c>
      <c r="K6" s="9" t="s">
        <v>627</v>
      </c>
      <c r="L6" s="9" t="s">
        <v>507</v>
      </c>
      <c r="M6" s="9" t="s">
        <v>477</v>
      </c>
      <c r="N6" s="9" t="s">
        <v>480</v>
      </c>
      <c r="O6" s="9" t="s">
        <v>583</v>
      </c>
      <c r="P6" s="9" t="s">
        <v>291</v>
      </c>
      <c r="Q6" s="9" t="s">
        <v>628</v>
      </c>
      <c r="R6" s="9" t="s">
        <v>629</v>
      </c>
      <c r="S6" s="9">
        <v>3</v>
      </c>
      <c r="T6" s="9">
        <v>25</v>
      </c>
      <c r="U6" s="9" t="s">
        <v>274</v>
      </c>
      <c r="V6" s="9" t="s">
        <v>630</v>
      </c>
      <c r="W6" s="9" t="s">
        <v>631</v>
      </c>
      <c r="X6" s="9" t="s">
        <v>632</v>
      </c>
      <c r="Y6" s="9" t="s">
        <v>610</v>
      </c>
      <c r="Z6" s="9" t="s">
        <v>484</v>
      </c>
      <c r="AA6" s="9" t="s">
        <v>485</v>
      </c>
      <c r="AB6" s="9" t="s">
        <v>335</v>
      </c>
      <c r="AC6" s="9" t="s">
        <v>633</v>
      </c>
      <c r="AD6" s="9" t="s">
        <v>634</v>
      </c>
    </row>
    <row r="7" spans="1:30" ht="60">
      <c r="A7" s="9" t="s">
        <v>247</v>
      </c>
      <c r="B7" s="9" t="s">
        <v>635</v>
      </c>
      <c r="C7" s="9" t="s">
        <v>636</v>
      </c>
      <c r="D7" s="9" t="s">
        <v>637</v>
      </c>
      <c r="E7" s="9" t="s">
        <v>638</v>
      </c>
      <c r="F7" s="9" t="s">
        <v>639</v>
      </c>
      <c r="G7" s="9" t="s">
        <v>640</v>
      </c>
      <c r="H7" s="9">
        <v>3</v>
      </c>
      <c r="I7" s="9" t="s">
        <v>484</v>
      </c>
      <c r="J7" s="9" t="s">
        <v>318</v>
      </c>
      <c r="K7" s="9" t="s">
        <v>641</v>
      </c>
      <c r="L7" s="9" t="s">
        <v>507</v>
      </c>
      <c r="M7" s="9" t="s">
        <v>490</v>
      </c>
      <c r="N7" s="9" t="s">
        <v>485</v>
      </c>
      <c r="O7" s="9" t="s">
        <v>583</v>
      </c>
      <c r="P7" s="9" t="s">
        <v>642</v>
      </c>
      <c r="Q7" s="9" t="s">
        <v>643</v>
      </c>
      <c r="R7" s="9" t="s">
        <v>644</v>
      </c>
      <c r="S7" s="9">
        <v>5</v>
      </c>
      <c r="T7" s="9">
        <v>35</v>
      </c>
      <c r="U7" s="9" t="s">
        <v>279</v>
      </c>
      <c r="V7" s="9" t="s">
        <v>645</v>
      </c>
      <c r="W7" s="9" t="s">
        <v>646</v>
      </c>
      <c r="X7" s="9" t="s">
        <v>647</v>
      </c>
      <c r="Y7" s="9" t="s">
        <v>648</v>
      </c>
      <c r="Z7" s="9" t="s">
        <v>478</v>
      </c>
      <c r="AA7" s="9" t="s">
        <v>489</v>
      </c>
      <c r="AB7" s="9" t="s">
        <v>649</v>
      </c>
      <c r="AC7" s="9" t="s">
        <v>650</v>
      </c>
      <c r="AD7" s="9" t="s">
        <v>651</v>
      </c>
    </row>
    <row r="8" spans="1:30" ht="45" hidden="1">
      <c r="A8" s="9" t="s">
        <v>247</v>
      </c>
      <c r="B8" s="9" t="s">
        <v>635</v>
      </c>
      <c r="C8" s="9" t="s">
        <v>636</v>
      </c>
      <c r="D8" s="9" t="s">
        <v>637</v>
      </c>
      <c r="E8" s="9" t="s">
        <v>652</v>
      </c>
      <c r="F8" s="9" t="s">
        <v>653</v>
      </c>
      <c r="G8" s="9" t="s">
        <v>654</v>
      </c>
      <c r="H8" s="9">
        <v>3</v>
      </c>
      <c r="I8" s="9" t="s">
        <v>484</v>
      </c>
      <c r="J8" s="9" t="s">
        <v>274</v>
      </c>
      <c r="K8" s="9" t="s">
        <v>655</v>
      </c>
      <c r="L8" s="9" t="s">
        <v>503</v>
      </c>
      <c r="M8" s="9" t="s">
        <v>477</v>
      </c>
      <c r="N8" s="9" t="s">
        <v>480</v>
      </c>
      <c r="O8" s="9" t="s">
        <v>595</v>
      </c>
      <c r="S8" s="9" t="s">
        <v>656</v>
      </c>
      <c r="T8" s="9" t="s">
        <v>657</v>
      </c>
      <c r="U8" s="9" t="s">
        <v>658</v>
      </c>
    </row>
    <row r="9" spans="1:30" ht="60">
      <c r="A9" s="9" t="s">
        <v>253</v>
      </c>
      <c r="B9" s="9" t="s">
        <v>659</v>
      </c>
      <c r="C9" s="9" t="s">
        <v>660</v>
      </c>
      <c r="D9" s="9" t="s">
        <v>661</v>
      </c>
      <c r="E9" s="9" t="s">
        <v>662</v>
      </c>
      <c r="F9" s="9" t="s">
        <v>663</v>
      </c>
      <c r="G9" s="9" t="s">
        <v>664</v>
      </c>
      <c r="H9" s="9">
        <v>1</v>
      </c>
      <c r="I9" s="9" t="s">
        <v>499</v>
      </c>
      <c r="J9" s="9" t="s">
        <v>318</v>
      </c>
      <c r="K9" s="9" t="s">
        <v>665</v>
      </c>
      <c r="L9" s="9" t="s">
        <v>504</v>
      </c>
      <c r="M9" s="9" t="s">
        <v>505</v>
      </c>
      <c r="N9" s="9" t="s">
        <v>506</v>
      </c>
      <c r="O9" s="9" t="s">
        <v>583</v>
      </c>
      <c r="P9" s="9" t="s">
        <v>315</v>
      </c>
      <c r="Q9" s="9" t="s">
        <v>434</v>
      </c>
      <c r="R9" s="9" t="s">
        <v>666</v>
      </c>
      <c r="S9" s="9">
        <v>2</v>
      </c>
      <c r="T9" s="9">
        <v>20</v>
      </c>
      <c r="U9" s="9" t="s">
        <v>274</v>
      </c>
      <c r="V9" s="9" t="s">
        <v>667</v>
      </c>
      <c r="W9" s="9" t="s">
        <v>668</v>
      </c>
      <c r="X9" s="9" t="s">
        <v>669</v>
      </c>
      <c r="Y9" s="9" t="s">
        <v>670</v>
      </c>
      <c r="Z9" s="9" t="s">
        <v>477</v>
      </c>
      <c r="AA9" s="9" t="s">
        <v>478</v>
      </c>
      <c r="AB9" s="9" t="s">
        <v>671</v>
      </c>
      <c r="AC9" s="9" t="s">
        <v>672</v>
      </c>
      <c r="AD9" s="9" t="s">
        <v>673</v>
      </c>
    </row>
    <row r="10" spans="1:30" ht="45" hidden="1">
      <c r="A10" s="9" t="s">
        <v>253</v>
      </c>
      <c r="B10" s="9" t="s">
        <v>659</v>
      </c>
      <c r="C10" s="9" t="s">
        <v>660</v>
      </c>
      <c r="D10" s="9" t="s">
        <v>661</v>
      </c>
      <c r="E10" s="9" t="s">
        <v>674</v>
      </c>
      <c r="F10" s="9" t="s">
        <v>675</v>
      </c>
      <c r="G10" s="9" t="s">
        <v>676</v>
      </c>
      <c r="H10" s="9">
        <v>2</v>
      </c>
      <c r="I10" s="9" t="s">
        <v>490</v>
      </c>
      <c r="J10" s="9" t="s">
        <v>318</v>
      </c>
      <c r="K10" s="9" t="s">
        <v>677</v>
      </c>
      <c r="L10" s="9" t="s">
        <v>503</v>
      </c>
      <c r="M10" s="9" t="s">
        <v>499</v>
      </c>
      <c r="N10" s="9" t="s">
        <v>486</v>
      </c>
      <c r="O10" s="9" t="s">
        <v>595</v>
      </c>
      <c r="S10" s="9" t="s">
        <v>678</v>
      </c>
      <c r="T10" s="9" t="s">
        <v>679</v>
      </c>
      <c r="U10" s="9" t="s">
        <v>680</v>
      </c>
    </row>
    <row r="11" spans="1:30" ht="60">
      <c r="A11" s="9" t="s">
        <v>254</v>
      </c>
      <c r="B11" s="9" t="s">
        <v>681</v>
      </c>
      <c r="C11" s="9" t="s">
        <v>682</v>
      </c>
      <c r="D11" s="9" t="s">
        <v>683</v>
      </c>
      <c r="E11" s="9" t="s">
        <v>684</v>
      </c>
      <c r="F11" s="9" t="s">
        <v>685</v>
      </c>
      <c r="G11" s="9" t="s">
        <v>686</v>
      </c>
      <c r="H11" s="9">
        <v>5</v>
      </c>
      <c r="I11" s="9" t="s">
        <v>490</v>
      </c>
      <c r="J11" s="9" t="s">
        <v>318</v>
      </c>
      <c r="K11" s="9" t="s">
        <v>687</v>
      </c>
      <c r="L11" s="9" t="s">
        <v>497</v>
      </c>
      <c r="M11" s="9" t="s">
        <v>484</v>
      </c>
      <c r="N11" s="9" t="s">
        <v>485</v>
      </c>
      <c r="O11" s="9" t="s">
        <v>583</v>
      </c>
      <c r="P11" s="9" t="s">
        <v>285</v>
      </c>
      <c r="Q11" s="9" t="s">
        <v>688</v>
      </c>
      <c r="R11" s="9" t="s">
        <v>355</v>
      </c>
      <c r="S11" s="9">
        <v>3</v>
      </c>
      <c r="T11" s="9">
        <v>30</v>
      </c>
      <c r="U11" s="9" t="s">
        <v>279</v>
      </c>
      <c r="V11" s="9" t="s">
        <v>689</v>
      </c>
      <c r="W11" s="9" t="s">
        <v>690</v>
      </c>
      <c r="X11" s="9" t="s">
        <v>691</v>
      </c>
      <c r="Y11" s="9" t="s">
        <v>692</v>
      </c>
      <c r="Z11" s="9" t="s">
        <v>479</v>
      </c>
      <c r="AA11" s="9" t="s">
        <v>483</v>
      </c>
      <c r="AB11" s="9" t="s">
        <v>693</v>
      </c>
      <c r="AC11" s="9" t="s">
        <v>694</v>
      </c>
      <c r="AD11" s="9" t="s">
        <v>695</v>
      </c>
    </row>
    <row r="12" spans="1:30" ht="45">
      <c r="A12" s="9" t="s">
        <v>254</v>
      </c>
      <c r="B12" s="9" t="s">
        <v>681</v>
      </c>
      <c r="C12" s="9" t="s">
        <v>682</v>
      </c>
      <c r="D12" s="9" t="s">
        <v>683</v>
      </c>
      <c r="E12" s="9" t="s">
        <v>696</v>
      </c>
      <c r="F12" s="9" t="s">
        <v>697</v>
      </c>
      <c r="G12" s="9" t="s">
        <v>698</v>
      </c>
      <c r="H12" s="9">
        <v>2</v>
      </c>
      <c r="I12" s="9" t="s">
        <v>484</v>
      </c>
      <c r="J12" s="9" t="s">
        <v>274</v>
      </c>
      <c r="K12" s="9" t="s">
        <v>699</v>
      </c>
      <c r="L12" s="9" t="s">
        <v>497</v>
      </c>
      <c r="M12" s="9" t="s">
        <v>477</v>
      </c>
      <c r="N12" s="9" t="s">
        <v>480</v>
      </c>
      <c r="O12" s="9" t="s">
        <v>583</v>
      </c>
      <c r="P12" s="9" t="s">
        <v>700</v>
      </c>
      <c r="Q12" s="9" t="s">
        <v>701</v>
      </c>
      <c r="R12" s="9" t="s">
        <v>702</v>
      </c>
      <c r="S12" s="9">
        <v>2</v>
      </c>
      <c r="T12" s="9">
        <v>15</v>
      </c>
      <c r="U12" s="9" t="s">
        <v>274</v>
      </c>
      <c r="V12" s="9" t="s">
        <v>703</v>
      </c>
      <c r="W12" s="9" t="s">
        <v>704</v>
      </c>
      <c r="X12" s="9" t="s">
        <v>705</v>
      </c>
      <c r="Y12" s="9" t="s">
        <v>276</v>
      </c>
      <c r="Z12" s="9" t="s">
        <v>477</v>
      </c>
      <c r="AA12" s="9" t="s">
        <v>478</v>
      </c>
      <c r="AB12" s="9" t="s">
        <v>706</v>
      </c>
      <c r="AC12" s="9" t="s">
        <v>707</v>
      </c>
      <c r="AD12" s="9" t="s">
        <v>708</v>
      </c>
    </row>
    <row r="13" spans="1:30" ht="60">
      <c r="A13" s="9" t="s">
        <v>255</v>
      </c>
      <c r="B13" s="9" t="s">
        <v>709</v>
      </c>
      <c r="C13" s="9" t="s">
        <v>710</v>
      </c>
      <c r="D13" s="9" t="s">
        <v>711</v>
      </c>
      <c r="E13" s="9" t="s">
        <v>508</v>
      </c>
      <c r="F13" s="9" t="s">
        <v>712</v>
      </c>
      <c r="G13" s="9" t="s">
        <v>713</v>
      </c>
      <c r="H13" s="9">
        <v>3</v>
      </c>
      <c r="I13" s="9" t="s">
        <v>481</v>
      </c>
      <c r="J13" s="9" t="s">
        <v>274</v>
      </c>
      <c r="K13" s="9" t="s">
        <v>714</v>
      </c>
      <c r="L13" s="9" t="s">
        <v>507</v>
      </c>
      <c r="M13" s="9" t="s">
        <v>484</v>
      </c>
      <c r="N13" s="9" t="s">
        <v>509</v>
      </c>
      <c r="O13" s="9" t="s">
        <v>583</v>
      </c>
      <c r="P13" s="9" t="s">
        <v>715</v>
      </c>
      <c r="Q13" s="9" t="s">
        <v>371</v>
      </c>
      <c r="R13" s="9" t="s">
        <v>372</v>
      </c>
      <c r="S13" s="9">
        <v>4</v>
      </c>
      <c r="T13" s="9">
        <v>30</v>
      </c>
      <c r="U13" s="9" t="s">
        <v>279</v>
      </c>
      <c r="V13" s="9" t="s">
        <v>716</v>
      </c>
      <c r="W13" s="9" t="s">
        <v>717</v>
      </c>
      <c r="X13" s="9" t="s">
        <v>718</v>
      </c>
      <c r="Y13" s="9" t="s">
        <v>719</v>
      </c>
      <c r="Z13" s="9" t="s">
        <v>486</v>
      </c>
      <c r="AA13" s="9" t="s">
        <v>487</v>
      </c>
      <c r="AB13" s="9" t="s">
        <v>720</v>
      </c>
      <c r="AC13" s="9" t="s">
        <v>721</v>
      </c>
      <c r="AD13" s="9" t="s">
        <v>722</v>
      </c>
    </row>
    <row r="14" spans="1:30" ht="45" hidden="1">
      <c r="A14" s="9" t="s">
        <v>255</v>
      </c>
      <c r="B14" s="9" t="s">
        <v>709</v>
      </c>
      <c r="C14" s="9" t="s">
        <v>710</v>
      </c>
      <c r="D14" s="9" t="s">
        <v>711</v>
      </c>
      <c r="E14" s="9" t="s">
        <v>723</v>
      </c>
      <c r="F14" s="9" t="s">
        <v>724</v>
      </c>
      <c r="G14" s="9" t="s">
        <v>725</v>
      </c>
      <c r="H14" s="9">
        <v>2</v>
      </c>
      <c r="I14" s="9" t="s">
        <v>490</v>
      </c>
      <c r="J14" s="9" t="s">
        <v>318</v>
      </c>
      <c r="K14" s="9" t="s">
        <v>726</v>
      </c>
      <c r="L14" s="9" t="s">
        <v>503</v>
      </c>
      <c r="M14" s="9" t="s">
        <v>490</v>
      </c>
      <c r="N14" s="9" t="s">
        <v>478</v>
      </c>
      <c r="O14" s="9" t="s">
        <v>595</v>
      </c>
      <c r="S14" s="9" t="s">
        <v>727</v>
      </c>
      <c r="T14" s="9" t="s">
        <v>728</v>
      </c>
      <c r="U14" s="9" t="s">
        <v>729</v>
      </c>
    </row>
    <row r="15" spans="1:30" ht="60">
      <c r="A15" s="9" t="s">
        <v>251</v>
      </c>
      <c r="B15" s="9" t="s">
        <v>730</v>
      </c>
      <c r="C15" s="9" t="s">
        <v>731</v>
      </c>
      <c r="D15" s="9" t="s">
        <v>732</v>
      </c>
      <c r="E15" s="9" t="s">
        <v>733</v>
      </c>
      <c r="F15" s="9" t="s">
        <v>734</v>
      </c>
      <c r="G15" s="9" t="s">
        <v>735</v>
      </c>
      <c r="H15" s="9">
        <v>2</v>
      </c>
      <c r="I15" s="9" t="s">
        <v>484</v>
      </c>
      <c r="J15" s="9" t="s">
        <v>318</v>
      </c>
      <c r="K15" s="9" t="s">
        <v>736</v>
      </c>
      <c r="L15" s="9" t="s">
        <v>510</v>
      </c>
      <c r="M15" s="9" t="s">
        <v>490</v>
      </c>
      <c r="N15" s="9" t="s">
        <v>485</v>
      </c>
      <c r="O15" s="9" t="s">
        <v>583</v>
      </c>
      <c r="P15" s="9" t="s">
        <v>737</v>
      </c>
      <c r="Q15" s="9" t="s">
        <v>738</v>
      </c>
      <c r="R15" s="9" t="s">
        <v>739</v>
      </c>
      <c r="S15" s="9">
        <v>4</v>
      </c>
      <c r="T15" s="9">
        <v>25</v>
      </c>
      <c r="U15" s="9" t="s">
        <v>274</v>
      </c>
      <c r="V15" s="9" t="s">
        <v>740</v>
      </c>
      <c r="W15" s="9" t="s">
        <v>741</v>
      </c>
      <c r="X15" s="9" t="s">
        <v>742</v>
      </c>
      <c r="Y15" s="9" t="s">
        <v>743</v>
      </c>
      <c r="Z15" s="9" t="s">
        <v>484</v>
      </c>
      <c r="AA15" s="9" t="s">
        <v>485</v>
      </c>
      <c r="AB15" s="9" t="s">
        <v>744</v>
      </c>
      <c r="AC15" s="9" t="s">
        <v>745</v>
      </c>
      <c r="AD15" s="9" t="s">
        <v>746</v>
      </c>
    </row>
    <row r="16" spans="1:30" ht="45" hidden="1">
      <c r="A16" s="9" t="s">
        <v>251</v>
      </c>
      <c r="B16" s="9" t="s">
        <v>730</v>
      </c>
      <c r="C16" s="9" t="s">
        <v>731</v>
      </c>
      <c r="D16" s="9" t="s">
        <v>732</v>
      </c>
      <c r="E16" s="9" t="s">
        <v>747</v>
      </c>
      <c r="F16" s="9" t="s">
        <v>748</v>
      </c>
      <c r="G16" s="9" t="s">
        <v>749</v>
      </c>
      <c r="H16" s="9">
        <v>3</v>
      </c>
      <c r="I16" s="9" t="s">
        <v>477</v>
      </c>
      <c r="J16" s="9" t="s">
        <v>274</v>
      </c>
      <c r="K16" s="9" t="s">
        <v>750</v>
      </c>
      <c r="L16" s="9" t="s">
        <v>503</v>
      </c>
      <c r="M16" s="9" t="s">
        <v>490</v>
      </c>
      <c r="N16" s="9" t="s">
        <v>502</v>
      </c>
      <c r="O16" s="9" t="s">
        <v>595</v>
      </c>
      <c r="S16" s="9" t="s">
        <v>751</v>
      </c>
      <c r="T16" s="9" t="s">
        <v>752</v>
      </c>
      <c r="U16" s="9" t="s">
        <v>753</v>
      </c>
    </row>
    <row r="27" spans="1:4" ht="72">
      <c r="A27" s="18" t="s">
        <v>754</v>
      </c>
    </row>
    <row r="28" spans="1:4">
      <c r="A28" s="22"/>
    </row>
    <row r="29" spans="1:4">
      <c r="A29" s="14" t="s">
        <v>261</v>
      </c>
      <c r="B29" s="14" t="s">
        <v>755</v>
      </c>
      <c r="C29" s="14" t="s">
        <v>756</v>
      </c>
      <c r="D29" s="14" t="s">
        <v>757</v>
      </c>
    </row>
    <row r="30" spans="1:4">
      <c r="A30" s="14" t="s">
        <v>249</v>
      </c>
      <c r="B30" s="9">
        <v>2</v>
      </c>
      <c r="C30" s="9">
        <v>1</v>
      </c>
      <c r="D30" s="9">
        <v>3</v>
      </c>
    </row>
    <row r="31" spans="1:4">
      <c r="A31" s="14" t="s">
        <v>250</v>
      </c>
      <c r="B31" s="9">
        <v>2</v>
      </c>
      <c r="C31" s="9">
        <v>1</v>
      </c>
      <c r="D31" s="9">
        <v>3</v>
      </c>
    </row>
    <row r="32" spans="1:4">
      <c r="A32" s="14" t="s">
        <v>252</v>
      </c>
      <c r="B32" s="9">
        <v>1</v>
      </c>
      <c r="C32" s="9">
        <v>1</v>
      </c>
      <c r="D32" s="9">
        <v>2</v>
      </c>
    </row>
    <row r="33" spans="1:4">
      <c r="A33" s="14" t="s">
        <v>247</v>
      </c>
      <c r="B33" s="9">
        <v>2</v>
      </c>
      <c r="C33" s="9">
        <v>1</v>
      </c>
      <c r="D33" s="9">
        <v>3</v>
      </c>
    </row>
    <row r="34" spans="1:4">
      <c r="A34" s="14" t="s">
        <v>253</v>
      </c>
      <c r="B34" s="9">
        <v>2</v>
      </c>
      <c r="C34" s="9">
        <v>1</v>
      </c>
      <c r="D34" s="9">
        <v>3</v>
      </c>
    </row>
    <row r="35" spans="1:4">
      <c r="A35" s="14" t="s">
        <v>254</v>
      </c>
      <c r="B35" s="9">
        <v>2</v>
      </c>
      <c r="C35" s="9">
        <v>2</v>
      </c>
      <c r="D35" s="9">
        <v>4</v>
      </c>
    </row>
    <row r="36" spans="1:4">
      <c r="A36" s="14" t="s">
        <v>255</v>
      </c>
      <c r="B36" s="9">
        <v>2</v>
      </c>
      <c r="C36" s="9">
        <v>1</v>
      </c>
      <c r="D36" s="9">
        <v>3</v>
      </c>
    </row>
    <row r="37" spans="1:4">
      <c r="A37" s="14" t="s">
        <v>251</v>
      </c>
      <c r="B37" s="9">
        <v>2</v>
      </c>
      <c r="C37" s="9">
        <v>1</v>
      </c>
      <c r="D37" s="9">
        <v>3</v>
      </c>
    </row>
    <row r="38" spans="1:4">
      <c r="A38" s="14" t="s">
        <v>758</v>
      </c>
      <c r="B38" s="14">
        <v>15</v>
      </c>
      <c r="C38" s="14">
        <v>9</v>
      </c>
      <c r="D38" s="14">
        <v>24</v>
      </c>
    </row>
    <row r="40" spans="1:4" ht="54">
      <c r="A40" s="18" t="s">
        <v>759</v>
      </c>
    </row>
    <row r="42" spans="1:4" ht="60">
      <c r="A42" s="14" t="s">
        <v>760</v>
      </c>
    </row>
    <row r="43" spans="1:4" ht="60">
      <c r="A43" s="14" t="s">
        <v>761</v>
      </c>
    </row>
    <row r="44" spans="1:4" ht="30">
      <c r="A44" s="14" t="s">
        <v>762</v>
      </c>
    </row>
    <row r="45" spans="1:4" ht="45">
      <c r="A45" s="14" t="s">
        <v>763</v>
      </c>
    </row>
    <row r="46" spans="1:4" ht="30">
      <c r="A46" s="14" t="s">
        <v>764</v>
      </c>
    </row>
    <row r="48" spans="1:4" ht="72">
      <c r="A48" s="18" t="s">
        <v>765</v>
      </c>
    </row>
    <row r="50" spans="1:1">
      <c r="A50" s="14" t="s">
        <v>766</v>
      </c>
    </row>
    <row r="52" spans="1:1" ht="60">
      <c r="A52" s="9" t="s">
        <v>767</v>
      </c>
    </row>
    <row r="53" spans="1:1" ht="45">
      <c r="A53" s="9" t="s">
        <v>768</v>
      </c>
    </row>
    <row r="54" spans="1:1" ht="45">
      <c r="A54" s="9" t="s">
        <v>769</v>
      </c>
    </row>
    <row r="55" spans="1:1" ht="30">
      <c r="A55" s="9" t="s">
        <v>770</v>
      </c>
    </row>
    <row r="57" spans="1:1">
      <c r="A57" s="14" t="s">
        <v>771</v>
      </c>
    </row>
    <row r="59" spans="1:1" ht="45">
      <c r="A59" s="9" t="s">
        <v>772</v>
      </c>
    </row>
    <row r="60" spans="1:1" ht="30">
      <c r="A60" s="9" t="s">
        <v>773</v>
      </c>
    </row>
    <row r="61" spans="1:1" ht="45">
      <c r="A61" s="9" t="s">
        <v>774</v>
      </c>
    </row>
    <row r="62" spans="1:1" ht="30">
      <c r="A62" s="9" t="s">
        <v>775</v>
      </c>
    </row>
    <row r="64" spans="1:1" ht="30">
      <c r="A64" s="14" t="s">
        <v>776</v>
      </c>
    </row>
    <row r="66" spans="1:1" ht="45">
      <c r="A66" s="9" t="s">
        <v>777</v>
      </c>
    </row>
    <row r="67" spans="1:1" ht="30">
      <c r="A67" s="9" t="s">
        <v>778</v>
      </c>
    </row>
    <row r="68" spans="1:1" ht="30">
      <c r="A68" s="9" t="s">
        <v>779</v>
      </c>
    </row>
    <row r="69" spans="1:1" ht="30">
      <c r="A69" s="9" t="s">
        <v>780</v>
      </c>
    </row>
  </sheetData>
  <autoFilter ref="A1:AD16" xr:uid="{5AE1DA4B-3F17-44D1-A0A7-34ACCEBC5995}">
    <filterColumn colId="14">
      <filters>
        <filter val="Sí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E4A6-8DE8-4189-850B-68A82C975FC9}">
  <dimension ref="A1:N29"/>
  <sheetViews>
    <sheetView zoomScale="70" zoomScaleNormal="70" workbookViewId="0">
      <selection activeCell="F47" sqref="F47"/>
    </sheetView>
  </sheetViews>
  <sheetFormatPr baseColWidth="10" defaultRowHeight="15"/>
  <cols>
    <col min="2" max="2" width="17.140625" customWidth="1"/>
    <col min="3" max="3" width="43.5703125" customWidth="1"/>
    <col min="4" max="4" width="45" customWidth="1"/>
    <col min="5" max="5" width="35.85546875" customWidth="1"/>
    <col min="6" max="6" width="22.28515625" customWidth="1"/>
    <col min="7" max="7" width="30.28515625" customWidth="1"/>
    <col min="9" max="9" width="32.5703125" customWidth="1"/>
    <col min="10" max="10" width="30.7109375" customWidth="1"/>
    <col min="11" max="12" width="36.5703125" customWidth="1"/>
    <col min="13" max="13" width="26.140625" customWidth="1"/>
    <col min="14" max="14" width="23.85546875" customWidth="1"/>
    <col min="15" max="15" width="27.5703125" customWidth="1"/>
    <col min="16" max="23" width="17.140625" customWidth="1"/>
  </cols>
  <sheetData>
    <row r="1" spans="1:14">
      <c r="A1" s="20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475</v>
      </c>
      <c r="N1" t="s">
        <v>476</v>
      </c>
    </row>
    <row r="2" spans="1:14">
      <c r="A2">
        <v>1</v>
      </c>
      <c r="B2" t="s">
        <v>253</v>
      </c>
      <c r="C2" t="s">
        <v>272</v>
      </c>
      <c r="D2" t="s">
        <v>336</v>
      </c>
      <c r="E2" t="s">
        <v>337</v>
      </c>
      <c r="F2">
        <v>2</v>
      </c>
      <c r="G2" t="s">
        <v>273</v>
      </c>
      <c r="H2" t="s">
        <v>274</v>
      </c>
      <c r="I2" t="s">
        <v>338</v>
      </c>
      <c r="J2" t="s">
        <v>339</v>
      </c>
      <c r="K2" t="s">
        <v>275</v>
      </c>
      <c r="L2" t="s">
        <v>276</v>
      </c>
      <c r="M2" t="s">
        <v>477</v>
      </c>
      <c r="N2" t="s">
        <v>478</v>
      </c>
    </row>
    <row r="3" spans="1:14">
      <c r="A3">
        <v>2</v>
      </c>
      <c r="B3" t="s">
        <v>254</v>
      </c>
      <c r="C3" t="s">
        <v>277</v>
      </c>
      <c r="D3" t="s">
        <v>340</v>
      </c>
      <c r="E3" t="s">
        <v>341</v>
      </c>
      <c r="F3" s="21">
        <v>45872</v>
      </c>
      <c r="G3" t="s">
        <v>278</v>
      </c>
      <c r="H3" s="21" t="s">
        <v>279</v>
      </c>
      <c r="I3" t="s">
        <v>342</v>
      </c>
      <c r="J3" t="s">
        <v>343</v>
      </c>
      <c r="K3" t="s">
        <v>344</v>
      </c>
      <c r="L3" t="s">
        <v>280</v>
      </c>
      <c r="M3" t="s">
        <v>479</v>
      </c>
      <c r="N3" t="s">
        <v>480</v>
      </c>
    </row>
    <row r="4" spans="1:14">
      <c r="A4">
        <v>3</v>
      </c>
      <c r="B4" t="s">
        <v>254</v>
      </c>
      <c r="C4" t="s">
        <v>281</v>
      </c>
      <c r="D4" t="s">
        <v>345</v>
      </c>
      <c r="E4" t="s">
        <v>346</v>
      </c>
      <c r="F4">
        <v>2</v>
      </c>
      <c r="G4" t="s">
        <v>282</v>
      </c>
      <c r="H4" t="s">
        <v>279</v>
      </c>
      <c r="I4" t="s">
        <v>347</v>
      </c>
      <c r="J4" t="s">
        <v>348</v>
      </c>
      <c r="K4" t="s">
        <v>349</v>
      </c>
      <c r="L4" t="s">
        <v>276</v>
      </c>
      <c r="M4" t="s">
        <v>481</v>
      </c>
      <c r="N4" t="s">
        <v>482</v>
      </c>
    </row>
    <row r="5" spans="1:14">
      <c r="A5">
        <v>4</v>
      </c>
      <c r="B5" t="s">
        <v>254</v>
      </c>
      <c r="C5" t="s">
        <v>283</v>
      </c>
      <c r="D5" t="s">
        <v>284</v>
      </c>
      <c r="E5" t="s">
        <v>350</v>
      </c>
      <c r="F5">
        <v>2</v>
      </c>
      <c r="G5" t="s">
        <v>273</v>
      </c>
      <c r="H5" t="s">
        <v>274</v>
      </c>
      <c r="I5" t="s">
        <v>351</v>
      </c>
      <c r="J5" t="s">
        <v>352</v>
      </c>
      <c r="K5" t="s">
        <v>353</v>
      </c>
      <c r="L5" t="s">
        <v>276</v>
      </c>
      <c r="M5" t="s">
        <v>477</v>
      </c>
      <c r="N5" t="s">
        <v>478</v>
      </c>
    </row>
    <row r="6" spans="1:14">
      <c r="A6">
        <v>5</v>
      </c>
      <c r="B6" t="s">
        <v>254</v>
      </c>
      <c r="C6" t="s">
        <v>285</v>
      </c>
      <c r="D6" t="s">
        <v>354</v>
      </c>
      <c r="E6" t="s">
        <v>355</v>
      </c>
      <c r="F6" s="21">
        <v>45750</v>
      </c>
      <c r="G6" t="s">
        <v>286</v>
      </c>
      <c r="H6" t="s">
        <v>279</v>
      </c>
      <c r="I6" s="21" t="s">
        <v>356</v>
      </c>
      <c r="J6" t="s">
        <v>357</v>
      </c>
      <c r="K6" t="s">
        <v>287</v>
      </c>
      <c r="L6" t="s">
        <v>288</v>
      </c>
      <c r="M6" t="s">
        <v>479</v>
      </c>
      <c r="N6" t="s">
        <v>483</v>
      </c>
    </row>
    <row r="7" spans="1:14">
      <c r="A7">
        <v>6</v>
      </c>
      <c r="B7" t="s">
        <v>254</v>
      </c>
      <c r="C7" t="s">
        <v>289</v>
      </c>
      <c r="D7" t="s">
        <v>358</v>
      </c>
      <c r="E7" t="s">
        <v>290</v>
      </c>
      <c r="F7">
        <v>2</v>
      </c>
      <c r="G7" t="s">
        <v>282</v>
      </c>
      <c r="H7" t="s">
        <v>279</v>
      </c>
      <c r="I7" t="s">
        <v>359</v>
      </c>
      <c r="J7" t="s">
        <v>360</v>
      </c>
      <c r="K7" t="s">
        <v>361</v>
      </c>
      <c r="L7" t="s">
        <v>276</v>
      </c>
      <c r="M7" t="s">
        <v>481</v>
      </c>
      <c r="N7" t="s">
        <v>482</v>
      </c>
    </row>
    <row r="8" spans="1:14">
      <c r="A8">
        <v>7</v>
      </c>
      <c r="B8" t="s">
        <v>252</v>
      </c>
      <c r="C8" t="s">
        <v>291</v>
      </c>
      <c r="D8" t="s">
        <v>362</v>
      </c>
      <c r="E8" t="s">
        <v>363</v>
      </c>
      <c r="F8" s="21">
        <v>45750</v>
      </c>
      <c r="G8" t="s">
        <v>278</v>
      </c>
      <c r="H8" s="21" t="s">
        <v>274</v>
      </c>
      <c r="I8" t="s">
        <v>364</v>
      </c>
      <c r="J8" t="s">
        <v>365</v>
      </c>
      <c r="K8" t="s">
        <v>292</v>
      </c>
      <c r="L8" t="s">
        <v>280</v>
      </c>
      <c r="M8" t="s">
        <v>484</v>
      </c>
      <c r="N8" t="s">
        <v>485</v>
      </c>
    </row>
    <row r="9" spans="1:14">
      <c r="A9">
        <v>8</v>
      </c>
      <c r="B9" t="s">
        <v>254</v>
      </c>
      <c r="C9" t="s">
        <v>293</v>
      </c>
      <c r="D9" t="s">
        <v>366</v>
      </c>
      <c r="E9" t="s">
        <v>367</v>
      </c>
      <c r="F9">
        <v>2</v>
      </c>
      <c r="G9" t="s">
        <v>282</v>
      </c>
      <c r="H9" t="s">
        <v>274</v>
      </c>
      <c r="I9" t="s">
        <v>368</v>
      </c>
      <c r="J9" t="s">
        <v>369</v>
      </c>
      <c r="K9" t="s">
        <v>370</v>
      </c>
      <c r="L9" t="s">
        <v>276</v>
      </c>
      <c r="M9" t="s">
        <v>477</v>
      </c>
      <c r="N9" t="s">
        <v>478</v>
      </c>
    </row>
    <row r="10" spans="1:14">
      <c r="A10">
        <v>9</v>
      </c>
      <c r="B10" t="s">
        <v>255</v>
      </c>
      <c r="C10" t="s">
        <v>294</v>
      </c>
      <c r="D10" t="s">
        <v>371</v>
      </c>
      <c r="E10" t="s">
        <v>372</v>
      </c>
      <c r="F10" s="21">
        <v>45812</v>
      </c>
      <c r="G10" t="s">
        <v>295</v>
      </c>
      <c r="H10" t="s">
        <v>279</v>
      </c>
      <c r="I10" s="21" t="s">
        <v>373</v>
      </c>
      <c r="J10" t="s">
        <v>374</v>
      </c>
      <c r="K10" t="s">
        <v>375</v>
      </c>
      <c r="L10" t="s">
        <v>376</v>
      </c>
      <c r="M10" t="s">
        <v>486</v>
      </c>
      <c r="N10" t="s">
        <v>487</v>
      </c>
    </row>
    <row r="11" spans="1:14">
      <c r="A11">
        <v>10</v>
      </c>
      <c r="B11" t="s">
        <v>250</v>
      </c>
      <c r="C11" t="s">
        <v>296</v>
      </c>
      <c r="D11" t="s">
        <v>297</v>
      </c>
      <c r="E11" t="s">
        <v>377</v>
      </c>
      <c r="F11" s="21">
        <v>45780</v>
      </c>
      <c r="G11" t="s">
        <v>278</v>
      </c>
      <c r="H11" s="21" t="s">
        <v>279</v>
      </c>
      <c r="I11" t="s">
        <v>378</v>
      </c>
      <c r="J11" t="s">
        <v>379</v>
      </c>
      <c r="K11" t="s">
        <v>380</v>
      </c>
      <c r="L11" t="s">
        <v>280</v>
      </c>
      <c r="M11" t="s">
        <v>481</v>
      </c>
      <c r="N11" t="s">
        <v>485</v>
      </c>
    </row>
    <row r="12" spans="1:14">
      <c r="A12">
        <v>11</v>
      </c>
      <c r="B12" t="s">
        <v>253</v>
      </c>
      <c r="C12" t="s">
        <v>298</v>
      </c>
      <c r="D12" t="s">
        <v>381</v>
      </c>
      <c r="E12" t="s">
        <v>382</v>
      </c>
      <c r="F12" s="21">
        <v>45750</v>
      </c>
      <c r="G12" t="s">
        <v>278</v>
      </c>
      <c r="H12" t="s">
        <v>274</v>
      </c>
      <c r="I12" s="21" t="s">
        <v>383</v>
      </c>
      <c r="J12" t="s">
        <v>384</v>
      </c>
      <c r="K12" t="s">
        <v>385</v>
      </c>
      <c r="L12" t="s">
        <v>386</v>
      </c>
      <c r="M12" t="s">
        <v>484</v>
      </c>
      <c r="N12" t="s">
        <v>485</v>
      </c>
    </row>
    <row r="13" spans="1:14">
      <c r="A13">
        <v>12</v>
      </c>
      <c r="B13" t="s">
        <v>250</v>
      </c>
      <c r="C13" t="s">
        <v>299</v>
      </c>
      <c r="D13" t="s">
        <v>387</v>
      </c>
      <c r="E13" t="s">
        <v>388</v>
      </c>
      <c r="F13" s="21">
        <v>45780</v>
      </c>
      <c r="G13" t="s">
        <v>278</v>
      </c>
      <c r="H13" t="s">
        <v>279</v>
      </c>
      <c r="I13" s="21" t="s">
        <v>389</v>
      </c>
      <c r="J13" t="s">
        <v>390</v>
      </c>
      <c r="K13" t="s">
        <v>391</v>
      </c>
      <c r="L13" t="s">
        <v>300</v>
      </c>
      <c r="M13" t="s">
        <v>479</v>
      </c>
      <c r="N13" t="s">
        <v>480</v>
      </c>
    </row>
    <row r="14" spans="1:14">
      <c r="A14">
        <v>13</v>
      </c>
      <c r="B14" t="s">
        <v>254</v>
      </c>
      <c r="C14" t="s">
        <v>301</v>
      </c>
      <c r="D14" t="s">
        <v>392</v>
      </c>
      <c r="E14" t="s">
        <v>393</v>
      </c>
      <c r="F14" s="21">
        <v>45873</v>
      </c>
      <c r="G14" t="s">
        <v>286</v>
      </c>
      <c r="H14" t="s">
        <v>274</v>
      </c>
      <c r="I14" t="s">
        <v>394</v>
      </c>
      <c r="J14" s="21" t="s">
        <v>395</v>
      </c>
      <c r="K14" t="s">
        <v>396</v>
      </c>
      <c r="L14" t="s">
        <v>302</v>
      </c>
      <c r="M14" t="s">
        <v>484</v>
      </c>
      <c r="N14" t="s">
        <v>488</v>
      </c>
    </row>
    <row r="15" spans="1:14">
      <c r="A15">
        <v>14</v>
      </c>
      <c r="B15" t="s">
        <v>247</v>
      </c>
      <c r="C15" t="s">
        <v>303</v>
      </c>
      <c r="D15" t="s">
        <v>397</v>
      </c>
      <c r="E15" t="s">
        <v>398</v>
      </c>
      <c r="F15" s="21">
        <v>45935</v>
      </c>
      <c r="G15" t="s">
        <v>304</v>
      </c>
      <c r="H15" t="s">
        <v>279</v>
      </c>
      <c r="I15" s="21" t="s">
        <v>399</v>
      </c>
      <c r="J15" t="s">
        <v>400</v>
      </c>
      <c r="K15" t="s">
        <v>305</v>
      </c>
      <c r="L15" t="s">
        <v>401</v>
      </c>
      <c r="M15" t="s">
        <v>478</v>
      </c>
      <c r="N15" t="s">
        <v>489</v>
      </c>
    </row>
    <row r="16" spans="1:14">
      <c r="A16">
        <v>15</v>
      </c>
      <c r="B16" t="s">
        <v>251</v>
      </c>
      <c r="C16" t="s">
        <v>306</v>
      </c>
      <c r="D16" t="s">
        <v>402</v>
      </c>
      <c r="E16" t="s">
        <v>403</v>
      </c>
      <c r="F16" s="21">
        <v>45812</v>
      </c>
      <c r="G16" t="s">
        <v>278</v>
      </c>
      <c r="H16" t="s">
        <v>274</v>
      </c>
      <c r="I16" s="21" t="s">
        <v>404</v>
      </c>
      <c r="J16" t="s">
        <v>405</v>
      </c>
      <c r="K16" t="s">
        <v>406</v>
      </c>
      <c r="L16" t="s">
        <v>307</v>
      </c>
      <c r="M16" t="s">
        <v>484</v>
      </c>
      <c r="N16" t="s">
        <v>485</v>
      </c>
    </row>
    <row r="17" spans="1:14">
      <c r="A17">
        <v>16</v>
      </c>
      <c r="B17" t="s">
        <v>254</v>
      </c>
      <c r="C17" t="s">
        <v>308</v>
      </c>
      <c r="D17" t="s">
        <v>407</v>
      </c>
      <c r="E17" t="s">
        <v>408</v>
      </c>
      <c r="F17">
        <v>2</v>
      </c>
      <c r="G17" t="s">
        <v>282</v>
      </c>
      <c r="H17" t="s">
        <v>274</v>
      </c>
      <c r="I17" t="s">
        <v>409</v>
      </c>
      <c r="J17" t="s">
        <v>410</v>
      </c>
      <c r="K17" t="s">
        <v>411</v>
      </c>
      <c r="L17" t="s">
        <v>412</v>
      </c>
      <c r="M17" t="s">
        <v>477</v>
      </c>
      <c r="N17" t="s">
        <v>478</v>
      </c>
    </row>
    <row r="18" spans="1:14">
      <c r="A18">
        <v>17</v>
      </c>
      <c r="B18" t="s">
        <v>249</v>
      </c>
      <c r="C18" t="s">
        <v>309</v>
      </c>
      <c r="D18" t="s">
        <v>413</v>
      </c>
      <c r="E18" t="s">
        <v>414</v>
      </c>
      <c r="F18">
        <v>2</v>
      </c>
      <c r="G18" t="s">
        <v>282</v>
      </c>
      <c r="H18" t="s">
        <v>274</v>
      </c>
      <c r="I18" t="s">
        <v>415</v>
      </c>
      <c r="J18" t="s">
        <v>416</v>
      </c>
      <c r="K18" t="s">
        <v>417</v>
      </c>
      <c r="L18" t="s">
        <v>276</v>
      </c>
      <c r="M18" t="s">
        <v>477</v>
      </c>
      <c r="N18" t="s">
        <v>478</v>
      </c>
    </row>
    <row r="19" spans="1:14">
      <c r="A19">
        <v>18</v>
      </c>
      <c r="B19" t="s">
        <v>247</v>
      </c>
      <c r="C19" t="s">
        <v>310</v>
      </c>
      <c r="D19" t="s">
        <v>311</v>
      </c>
      <c r="E19" t="s">
        <v>418</v>
      </c>
      <c r="F19">
        <v>2</v>
      </c>
      <c r="G19" t="s">
        <v>278</v>
      </c>
      <c r="H19" t="s">
        <v>279</v>
      </c>
      <c r="I19" t="s">
        <v>419</v>
      </c>
      <c r="J19" t="s">
        <v>420</v>
      </c>
      <c r="K19" t="s">
        <v>421</v>
      </c>
      <c r="L19" t="s">
        <v>422</v>
      </c>
      <c r="M19" t="s">
        <v>481</v>
      </c>
      <c r="N19" t="s">
        <v>485</v>
      </c>
    </row>
    <row r="20" spans="1:14">
      <c r="A20">
        <v>19</v>
      </c>
      <c r="B20" t="s">
        <v>249</v>
      </c>
      <c r="C20" t="s">
        <v>312</v>
      </c>
      <c r="D20" t="s">
        <v>423</v>
      </c>
      <c r="E20" t="s">
        <v>424</v>
      </c>
      <c r="F20">
        <v>2</v>
      </c>
      <c r="G20" t="s">
        <v>282</v>
      </c>
      <c r="H20" t="s">
        <v>279</v>
      </c>
      <c r="I20" t="s">
        <v>425</v>
      </c>
      <c r="J20" t="s">
        <v>426</v>
      </c>
      <c r="K20" t="s">
        <v>427</v>
      </c>
      <c r="L20" t="s">
        <v>428</v>
      </c>
      <c r="M20" t="s">
        <v>481</v>
      </c>
      <c r="N20" t="s">
        <v>482</v>
      </c>
    </row>
    <row r="21" spans="1:14">
      <c r="A21">
        <v>20</v>
      </c>
      <c r="B21" t="s">
        <v>249</v>
      </c>
      <c r="C21" t="s">
        <v>313</v>
      </c>
      <c r="D21" t="s">
        <v>429</v>
      </c>
      <c r="E21" t="s">
        <v>430</v>
      </c>
      <c r="F21" s="21">
        <v>45750</v>
      </c>
      <c r="G21" t="s">
        <v>295</v>
      </c>
      <c r="H21" t="s">
        <v>279</v>
      </c>
      <c r="I21" s="21" t="s">
        <v>431</v>
      </c>
      <c r="J21" t="s">
        <v>432</v>
      </c>
      <c r="K21" t="s">
        <v>433</v>
      </c>
      <c r="L21" t="s">
        <v>314</v>
      </c>
      <c r="M21" t="s">
        <v>486</v>
      </c>
      <c r="N21" t="s">
        <v>487</v>
      </c>
    </row>
    <row r="22" spans="1:14">
      <c r="A22">
        <v>21</v>
      </c>
      <c r="B22" t="s">
        <v>253</v>
      </c>
      <c r="C22" t="s">
        <v>315</v>
      </c>
      <c r="D22" t="s">
        <v>434</v>
      </c>
      <c r="E22" t="s">
        <v>435</v>
      </c>
      <c r="F22" s="21">
        <v>45718</v>
      </c>
      <c r="G22" t="s">
        <v>282</v>
      </c>
      <c r="H22" s="21" t="s">
        <v>274</v>
      </c>
      <c r="I22" t="s">
        <v>436</v>
      </c>
      <c r="J22" t="s">
        <v>437</v>
      </c>
      <c r="K22" t="s">
        <v>438</v>
      </c>
      <c r="L22" t="s">
        <v>439</v>
      </c>
      <c r="M22" t="s">
        <v>477</v>
      </c>
      <c r="N22" t="s">
        <v>478</v>
      </c>
    </row>
    <row r="23" spans="1:14">
      <c r="A23">
        <v>22</v>
      </c>
      <c r="B23" t="s">
        <v>254</v>
      </c>
      <c r="C23" t="s">
        <v>316</v>
      </c>
      <c r="D23" t="s">
        <v>317</v>
      </c>
      <c r="E23" t="s">
        <v>440</v>
      </c>
      <c r="F23">
        <v>2</v>
      </c>
      <c r="G23" t="s">
        <v>282</v>
      </c>
      <c r="H23" t="s">
        <v>318</v>
      </c>
      <c r="I23" t="s">
        <v>441</v>
      </c>
      <c r="J23" t="s">
        <v>442</v>
      </c>
      <c r="K23" t="s">
        <v>443</v>
      </c>
      <c r="L23" t="s">
        <v>444</v>
      </c>
      <c r="M23" t="s">
        <v>490</v>
      </c>
      <c r="N23" t="s">
        <v>491</v>
      </c>
    </row>
    <row r="24" spans="1:14">
      <c r="A24">
        <v>23</v>
      </c>
      <c r="B24" t="s">
        <v>254</v>
      </c>
      <c r="C24" t="s">
        <v>319</v>
      </c>
      <c r="D24" t="s">
        <v>445</v>
      </c>
      <c r="E24" t="s">
        <v>320</v>
      </c>
      <c r="F24" s="21">
        <v>45718</v>
      </c>
      <c r="G24" s="21" t="s">
        <v>282</v>
      </c>
      <c r="H24" t="s">
        <v>274</v>
      </c>
      <c r="I24" t="s">
        <v>446</v>
      </c>
      <c r="J24" t="s">
        <v>447</v>
      </c>
      <c r="K24" t="s">
        <v>448</v>
      </c>
      <c r="L24" t="s">
        <v>321</v>
      </c>
      <c r="M24" t="s">
        <v>477</v>
      </c>
      <c r="N24" t="s">
        <v>478</v>
      </c>
    </row>
    <row r="25" spans="1:14">
      <c r="A25">
        <v>24</v>
      </c>
      <c r="B25" t="s">
        <v>251</v>
      </c>
      <c r="C25" t="s">
        <v>322</v>
      </c>
      <c r="D25" t="s">
        <v>449</v>
      </c>
      <c r="E25" t="s">
        <v>450</v>
      </c>
      <c r="F25">
        <v>2</v>
      </c>
      <c r="G25" t="s">
        <v>278</v>
      </c>
      <c r="H25" t="s">
        <v>274</v>
      </c>
      <c r="I25" t="s">
        <v>451</v>
      </c>
      <c r="J25" t="s">
        <v>452</v>
      </c>
      <c r="K25" t="s">
        <v>453</v>
      </c>
      <c r="L25" t="s">
        <v>454</v>
      </c>
      <c r="M25" t="s">
        <v>484</v>
      </c>
      <c r="N25" t="s">
        <v>485</v>
      </c>
    </row>
    <row r="26" spans="1:14">
      <c r="A26">
        <v>25</v>
      </c>
      <c r="B26" t="s">
        <v>254</v>
      </c>
      <c r="C26" t="s">
        <v>323</v>
      </c>
      <c r="D26" t="s">
        <v>324</v>
      </c>
      <c r="E26" t="s">
        <v>455</v>
      </c>
      <c r="F26" s="21">
        <v>45812</v>
      </c>
      <c r="G26" t="s">
        <v>286</v>
      </c>
      <c r="H26" s="21" t="s">
        <v>279</v>
      </c>
      <c r="I26" t="s">
        <v>456</v>
      </c>
      <c r="J26" t="s">
        <v>457</v>
      </c>
      <c r="K26" t="s">
        <v>458</v>
      </c>
      <c r="L26" t="s">
        <v>325</v>
      </c>
      <c r="M26" t="s">
        <v>479</v>
      </c>
      <c r="N26" t="s">
        <v>483</v>
      </c>
    </row>
    <row r="27" spans="1:14">
      <c r="A27">
        <v>26</v>
      </c>
      <c r="B27" t="s">
        <v>247</v>
      </c>
      <c r="C27" t="s">
        <v>326</v>
      </c>
      <c r="D27" t="s">
        <v>327</v>
      </c>
      <c r="E27" t="s">
        <v>459</v>
      </c>
      <c r="F27" s="21">
        <v>45780</v>
      </c>
      <c r="G27" s="21" t="s">
        <v>328</v>
      </c>
      <c r="H27" t="s">
        <v>279</v>
      </c>
      <c r="I27" t="s">
        <v>460</v>
      </c>
      <c r="J27" t="s">
        <v>461</v>
      </c>
      <c r="K27" t="s">
        <v>462</v>
      </c>
      <c r="L27" t="s">
        <v>329</v>
      </c>
      <c r="M27" t="s">
        <v>479</v>
      </c>
      <c r="N27" t="s">
        <v>480</v>
      </c>
    </row>
    <row r="28" spans="1:14">
      <c r="A28">
        <v>27</v>
      </c>
      <c r="B28" t="s">
        <v>247</v>
      </c>
      <c r="C28" t="s">
        <v>330</v>
      </c>
      <c r="D28" t="s">
        <v>463</v>
      </c>
      <c r="E28" t="s">
        <v>464</v>
      </c>
      <c r="F28" s="21">
        <v>45874</v>
      </c>
      <c r="G28" t="s">
        <v>304</v>
      </c>
      <c r="H28" t="s">
        <v>279</v>
      </c>
      <c r="I28" s="21" t="s">
        <v>465</v>
      </c>
      <c r="J28" t="s">
        <v>466</v>
      </c>
      <c r="K28" t="s">
        <v>467</v>
      </c>
      <c r="L28" t="s">
        <v>468</v>
      </c>
      <c r="M28" t="s">
        <v>478</v>
      </c>
      <c r="N28" t="s">
        <v>489</v>
      </c>
    </row>
    <row r="29" spans="1:14">
      <c r="A29">
        <v>28</v>
      </c>
      <c r="B29" t="s">
        <v>252</v>
      </c>
      <c r="C29" t="s">
        <v>331</v>
      </c>
      <c r="D29" t="s">
        <v>469</v>
      </c>
      <c r="E29" t="s">
        <v>470</v>
      </c>
      <c r="F29" s="21">
        <v>45812</v>
      </c>
      <c r="G29" t="s">
        <v>286</v>
      </c>
      <c r="H29" t="s">
        <v>274</v>
      </c>
      <c r="I29" s="21" t="s">
        <v>471</v>
      </c>
      <c r="J29" t="s">
        <v>472</v>
      </c>
      <c r="K29" t="s">
        <v>473</v>
      </c>
      <c r="L29" t="s">
        <v>474</v>
      </c>
      <c r="M29" t="s">
        <v>484</v>
      </c>
      <c r="N29" t="s">
        <v>488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F835-1899-4623-9FA8-C04F9168467C}">
  <dimension ref="A1:C49"/>
  <sheetViews>
    <sheetView workbookViewId="0">
      <selection activeCell="B33" sqref="B33"/>
    </sheetView>
  </sheetViews>
  <sheetFormatPr baseColWidth="10" defaultRowHeight="15"/>
  <cols>
    <col min="1" max="1" width="63.140625" customWidth="1"/>
    <col min="2" max="2" width="69.42578125" customWidth="1"/>
  </cols>
  <sheetData>
    <row r="1" spans="1:3" ht="23.25">
      <c r="A1" s="17" t="s">
        <v>511</v>
      </c>
      <c r="B1" s="17" t="s">
        <v>546</v>
      </c>
      <c r="C1" s="17" t="s">
        <v>557</v>
      </c>
    </row>
    <row r="3" spans="1:3" ht="18">
      <c r="A3" s="5" t="s">
        <v>512</v>
      </c>
      <c r="B3" s="5" t="s">
        <v>547</v>
      </c>
      <c r="C3" s="5" t="s">
        <v>558</v>
      </c>
    </row>
    <row r="4" spans="1:3">
      <c r="A4" s="3"/>
      <c r="B4" s="3"/>
      <c r="C4" s="3"/>
    </row>
    <row r="5" spans="1:3">
      <c r="A5" s="3" t="s">
        <v>513</v>
      </c>
      <c r="B5" s="3" t="s">
        <v>548</v>
      </c>
      <c r="C5" s="3" t="s">
        <v>559</v>
      </c>
    </row>
    <row r="6" spans="1:3">
      <c r="A6" s="3" t="s">
        <v>514</v>
      </c>
      <c r="B6" s="3" t="s">
        <v>549</v>
      </c>
      <c r="C6" s="3" t="s">
        <v>560</v>
      </c>
    </row>
    <row r="7" spans="1:3">
      <c r="A7" s="3" t="s">
        <v>515</v>
      </c>
      <c r="B7" s="3" t="s">
        <v>550</v>
      </c>
      <c r="C7" s="3" t="s">
        <v>561</v>
      </c>
    </row>
    <row r="8" spans="1:3">
      <c r="A8" s="3" t="s">
        <v>516</v>
      </c>
      <c r="B8" s="3" t="s">
        <v>551</v>
      </c>
      <c r="C8" s="3" t="s">
        <v>562</v>
      </c>
    </row>
    <row r="10" spans="1:3" ht="18">
      <c r="A10" s="5" t="s">
        <v>517</v>
      </c>
      <c r="B10" s="5" t="s">
        <v>552</v>
      </c>
      <c r="C10" s="5" t="s">
        <v>563</v>
      </c>
    </row>
    <row r="11" spans="1:3">
      <c r="B11" s="3"/>
      <c r="C11" s="3"/>
    </row>
    <row r="12" spans="1:3">
      <c r="A12" s="19" t="s">
        <v>518</v>
      </c>
      <c r="B12" s="3" t="s">
        <v>553</v>
      </c>
      <c r="C12" s="3" t="s">
        <v>564</v>
      </c>
    </row>
    <row r="13" spans="1:3">
      <c r="A13" s="3"/>
      <c r="B13" s="3" t="s">
        <v>554</v>
      </c>
      <c r="C13" s="3" t="s">
        <v>565</v>
      </c>
    </row>
    <row r="14" spans="1:3">
      <c r="A14" s="3" t="s">
        <v>519</v>
      </c>
      <c r="B14" s="3" t="s">
        <v>555</v>
      </c>
      <c r="C14" s="3" t="s">
        <v>566</v>
      </c>
    </row>
    <row r="15" spans="1:3">
      <c r="A15" s="3" t="s">
        <v>520</v>
      </c>
      <c r="B15" s="3" t="s">
        <v>556</v>
      </c>
      <c r="C15" s="3" t="s">
        <v>567</v>
      </c>
    </row>
    <row r="16" spans="1:3">
      <c r="A16" s="3" t="s">
        <v>521</v>
      </c>
    </row>
    <row r="17" spans="1:3" ht="18">
      <c r="A17" s="3" t="s">
        <v>522</v>
      </c>
      <c r="C17" s="5" t="s">
        <v>568</v>
      </c>
    </row>
    <row r="18" spans="1:3">
      <c r="C18" s="3"/>
    </row>
    <row r="19" spans="1:3">
      <c r="A19" s="19" t="s">
        <v>523</v>
      </c>
      <c r="C19" s="3" t="s">
        <v>569</v>
      </c>
    </row>
    <row r="20" spans="1:3">
      <c r="A20" s="3"/>
      <c r="C20" s="3" t="s">
        <v>570</v>
      </c>
    </row>
    <row r="21" spans="1:3">
      <c r="A21" s="3" t="s">
        <v>524</v>
      </c>
      <c r="C21" s="3" t="s">
        <v>571</v>
      </c>
    </row>
    <row r="22" spans="1:3">
      <c r="A22" s="3" t="s">
        <v>525</v>
      </c>
      <c r="C22" s="3" t="s">
        <v>572</v>
      </c>
    </row>
    <row r="23" spans="1:3">
      <c r="A23" s="3" t="s">
        <v>526</v>
      </c>
    </row>
    <row r="24" spans="1:3" ht="18">
      <c r="A24" s="3" t="s">
        <v>527</v>
      </c>
      <c r="C24" s="5" t="s">
        <v>573</v>
      </c>
    </row>
    <row r="25" spans="1:3">
      <c r="C25" s="3"/>
    </row>
    <row r="26" spans="1:3" ht="18">
      <c r="A26" s="5" t="s">
        <v>528</v>
      </c>
      <c r="C26" s="3" t="s">
        <v>574</v>
      </c>
    </row>
    <row r="27" spans="1:3">
      <c r="A27" s="3"/>
      <c r="C27" s="3" t="s">
        <v>575</v>
      </c>
    </row>
    <row r="28" spans="1:3">
      <c r="A28" s="3" t="s">
        <v>529</v>
      </c>
      <c r="C28" s="3" t="s">
        <v>576</v>
      </c>
    </row>
    <row r="29" spans="1:3">
      <c r="A29" s="3" t="s">
        <v>530</v>
      </c>
      <c r="C29" s="3" t="s">
        <v>577</v>
      </c>
    </row>
    <row r="30" spans="1:3">
      <c r="A30" s="3" t="s">
        <v>531</v>
      </c>
    </row>
    <row r="31" spans="1:3">
      <c r="A31" s="3" t="s">
        <v>532</v>
      </c>
    </row>
    <row r="33" spans="1:1" ht="18">
      <c r="A33" s="5" t="s">
        <v>533</v>
      </c>
    </row>
    <row r="35" spans="1:1">
      <c r="A35" s="19" t="s">
        <v>534</v>
      </c>
    </row>
    <row r="36" spans="1:1">
      <c r="A36" s="3"/>
    </row>
    <row r="37" spans="1:1">
      <c r="A37" s="3" t="s">
        <v>535</v>
      </c>
    </row>
    <row r="38" spans="1:1">
      <c r="A38" s="3" t="s">
        <v>536</v>
      </c>
    </row>
    <row r="39" spans="1:1">
      <c r="A39" s="3" t="s">
        <v>537</v>
      </c>
    </row>
    <row r="40" spans="1:1">
      <c r="A40" s="3" t="s">
        <v>538</v>
      </c>
    </row>
    <row r="41" spans="1:1">
      <c r="A41" s="3" t="s">
        <v>539</v>
      </c>
    </row>
    <row r="42" spans="1:1">
      <c r="A42" s="3" t="s">
        <v>540</v>
      </c>
    </row>
    <row r="44" spans="1:1">
      <c r="A44" s="19" t="s">
        <v>541</v>
      </c>
    </row>
    <row r="45" spans="1:1">
      <c r="A45" s="3"/>
    </row>
    <row r="46" spans="1:1">
      <c r="A46" s="3" t="s">
        <v>542</v>
      </c>
    </row>
    <row r="47" spans="1:1">
      <c r="A47" s="3" t="s">
        <v>543</v>
      </c>
    </row>
    <row r="48" spans="1:1">
      <c r="A48" s="3" t="s">
        <v>544</v>
      </c>
    </row>
    <row r="49" spans="1:1">
      <c r="A49" s="3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Talleres mejorado</vt:lpstr>
      <vt:lpstr>tarifas</vt:lpstr>
      <vt:lpstr>ESPEC BUENO</vt:lpstr>
      <vt:lpstr>Protocolos</vt:lpstr>
      <vt:lpstr>Freelances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 Cabezuelos</dc:creator>
  <cp:lastModifiedBy>Maite Cabezuelos</cp:lastModifiedBy>
  <dcterms:created xsi:type="dcterms:W3CDTF">2025-09-24T11:36:35Z</dcterms:created>
  <dcterms:modified xsi:type="dcterms:W3CDTF">2026-01-11T01:17:24Z</dcterms:modified>
</cp:coreProperties>
</file>